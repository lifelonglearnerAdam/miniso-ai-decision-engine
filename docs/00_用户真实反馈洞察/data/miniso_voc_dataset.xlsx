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3e84542c6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库" sheetId="1" r:id="Re9efd9436d4f4362"/>
    <x:sheet xmlns:r="http://schemas.openxmlformats.org/officeDocument/2006/relationships" name="小红书评论证据" sheetId="2" r:id="Rff4f3c0341b04d68"/>
    <x:sheet xmlns:r="http://schemas.openxmlformats.org/officeDocument/2006/relationships" name="字段说明" sheetId="3" r:id="R258014cf157f4f6a"/>
    <x:sheet xmlns:r="http://schemas.openxmlformats.org/officeDocument/2006/relationships" name="概览" sheetId="4" r:id="R7a52c9cad5e6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17E"/>
      <x:name val="Carlito"/>
    </x:font>
    <x:font>
      <x:b/>
      <x:sz val="10"/>
      <x:color rgb="FF66717E"/>
      <x:name val="Carlito"/>
    </x:font>
    <x:font>
      <x:b/>
      <x:sz val="20"/>
      <x:color rgb="FF20354D"/>
      <x:name val="Carlito"/>
    </x:font>
    <x:font>
      <x:b/>
      <x:sz val="20"/>
      <x:color rgb="FFC84A44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10"/>
      <x:color rgb="FF6F5310"/>
      <x:name val="Carlito"/>
    </x:font>
    <x:font>
      <x:b/>
      <x:sz val="18"/>
      <x:color rgb="FFFFFFFF"/>
      <x:name val="Arial"/>
    </x:font>
    <x:font>
      <x:i/>
      <x:sz val="10"/>
      <x:color rgb="FF66717E"/>
      <x:name val="Arial"/>
    </x:font>
    <x:font>
      <x:sz val="11"/>
      <x:name val="Arial"/>
    </x:font>
    <x:font>
      <x:b/>
      <x:sz val="10"/>
      <x:color rgb="FF66717E"/>
      <x:name val="Arial"/>
    </x:font>
    <x:font>
      <x:b/>
      <x:sz val="20"/>
      <x:color rgb="FF20354D"/>
      <x:name val="Arial"/>
    </x:font>
    <x:font>
      <x:b/>
      <x:sz val="20"/>
      <x:color rgb="FFC84A44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6F5310"/>
      <x:name val="Arial"/>
    </x:font>
    <x:font>
      <x:sz val="9"/>
      <x:color rgb="FF1F2933"/>
      <x:name val="Arial"/>
    </x:font>
    <x:font>
      <x:b/>
      <x:sz val="9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54D"/>
      </x:patternFill>
    </x:fill>
    <x:fill>
      <x:patternFill patternType="solid">
        <x:fgColor rgb="FFE9EEF3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FF6DD"/>
      </x:patternFill>
    </x:fill>
    <x:fill>
      <x:patternFill patternType="solid">
        <x:fgColor rgb="FF2B7A78"/>
      </x:patternFill>
    </x:fill>
  </x:fills>
  <x:borders count="42">
    <x:border/>
    <x:border/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bottom style="thin">
        <x:color rgb="FFE1E6EB"/>
      </x:bottom>
    </x:border>
    <x:border>
      <x:top style="thin">
        <x:color rgb="FFE1E6EB"/>
      </x:top>
      <x:bottom style="thin">
        <x:color rgb="FFE1E6EB"/>
      </x:bottom>
    </x:border>
    <x:border>
      <x:top style="thin">
        <x:color rgb="FFE1E6EB"/>
      </x:top>
      <x:bottom style="thin">
        <x:color rgb="FFC7D0D9"/>
      </x:bottom>
    </x:border>
    <x:border>
      <x:bottom style="thin">
        <x:color rgb="FFE1E6EB"/>
      </x:bottom>
    </x:border>
    <x:border>
      <x:top style="thin">
        <x:color rgb="FFE1E6EB"/>
      </x:top>
      <x:bottom style="thin">
        <x:color rgb="FFE1E6EB"/>
      </x:bottom>
    </x:border>
    <x:border>
      <x:top style="thin">
        <x:color rgb="FFE1E6EB"/>
      </x:top>
      <x:bottom style="thin">
        <x:color rgb="FFC7D0D9"/>
      </x:bottom>
    </x:border>
    <x:border>
      <x:left style="thin">
        <x:color rgb="FFE6CF86"/>
      </x:left>
      <x:top style="thin">
        <x:color rgb="FFE6CF86"/>
      </x:top>
    </x:border>
    <x:border>
      <x:top style="thin">
        <x:color rgb="FFE6CF86"/>
      </x:top>
    </x:border>
    <x:border>
      <x:right style="thin">
        <x:color rgb="FFE6CF86"/>
      </x:right>
      <x:top style="thin">
        <x:color rgb="FFE6CF86"/>
      </x:top>
    </x:border>
    <x:border>
      <x:left style="thin">
        <x:color rgb="FFE6CF86"/>
      </x:left>
      <x:bottom style="thin">
        <x:color rgb="FFE6CF86"/>
      </x:bottom>
    </x:border>
    <x:border>
      <x:bottom style="thin">
        <x:color rgb="FFE6CF86"/>
      </x:bottom>
    </x:border>
    <x:border>
      <x:right style="thin">
        <x:color rgb="FFE6CF86"/>
      </x:right>
      <x:bottom style="thin">
        <x:color rgb="FFE6CF86"/>
      </x:bottom>
    </x:border>
    <x:border>
      <x:left style="thin">
        <x:color rgb="FFE6CF86"/>
      </x:left>
      <x:top style="thin">
        <x:color rgb="FFE6CF86"/>
      </x:top>
    </x:border>
    <x:border>
      <x:top style="thin">
        <x:color rgb="FFE6CF86"/>
      </x:top>
    </x:border>
    <x:border>
      <x:right style="thin">
        <x:color rgb="FFE6CF86"/>
      </x:right>
      <x:top style="thin">
        <x:color rgb="FFE6CF86"/>
      </x:top>
    </x:border>
    <x:border>
      <x:left style="thin">
        <x:color rgb="FFE6CF86"/>
      </x:left>
      <x:bottom style="thin">
        <x:color rgb="FFE6CF86"/>
      </x:bottom>
    </x:border>
    <x:border>
      <x:bottom style="thin">
        <x:color rgb="FFE6CF86"/>
      </x:bottom>
    </x:border>
    <x:border>
      <x:right style="thin">
        <x:color rgb="FFE6CF86"/>
      </x:right>
      <x:bottom style="thin">
        <x:color rgb="FFE6CF86"/>
      </x:bottom>
    </x:border>
    <x:border>
      <x:bottom style="medium">
        <x:color rgb="FFD7A22A"/>
      </x:bottom>
    </x:border>
    <x:border>
      <x:bottom style="medium">
        <x:color rgb="FFD7A22A"/>
      </x:bottom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top style="thin">
        <x:color rgb="FFE1E6EB"/>
      </x:top>
    </x:border>
    <x:border>
      <x:top style="thin">
        <x:color rgb="FFE1E6EB"/>
      </x:top>
    </x:border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5" fillId="5" borderId="1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2" borderId="14" xfId="0" applyNumberFormat="1" applyFont="1" applyFill="1" applyBorder="1"/>
    <x:xf numFmtId="0" fontId="6" fillId="2" borderId="17" xfId="0" applyNumberFormat="1" applyFont="1" applyFill="1" applyBorder="1"/>
    <x:xf numFmtId="0" fontId="7" fillId="2" borderId="14" xfId="0" applyNumberFormat="1" applyFont="1" applyFill="1" applyBorder="1"/>
    <x:xf numFmtId="0" fontId="7" fillId="2" borderId="17" xfId="0" applyNumberFormat="1" applyFont="1" applyFill="1" applyBorder="1"/>
    <x:xf numFmtId="0" fontId="7" fillId="2" borderId="14" xfId="0" applyNumberFormat="1" applyFont="1" applyFill="1" applyBorder="1" applyAlignment="1">
      <x:alignment horizontal="center"/>
    </x:xf>
    <x:xf numFmtId="0" fontId="7" fillId="2" borderId="17" xfId="0" applyNumberFormat="1" applyFont="1" applyFill="1" applyBorder="1" applyAlignment="1">
      <x:alignment horizontal="center"/>
    </x:xf>
    <x:xf numFmtId="0" fontId="7" fillId="2" borderId="14" xfId="0" applyNumberFormat="1" applyFont="1" applyFill="1" applyBorder="1" applyAlignment="1">
      <x:alignment horizontal="center" vertical="center"/>
    </x:xf>
    <x:xf numFmtId="0" fontId="7" fillId="2" borderId="17" xfId="0" applyNumberFormat="1" applyFont="1" applyFill="1" applyBorder="1" applyAlignment="1">
      <x:alignment horizontal="center" vertical="center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24" xfId="0" applyNumberFormat="1" applyFont="1" applyFill="1" applyBorder="1"/>
    <x:xf numFmtId="0" fontId="8" fillId="6" borderId="25" xfId="0" applyNumberFormat="1" applyFont="1" applyFill="1" applyBorder="1"/>
    <x:xf numFmtId="0" fontId="8" fillId="6" borderId="26" xfId="0" applyNumberFormat="1" applyFont="1" applyFill="1" applyBorder="1"/>
    <x:xf numFmtId="0" fontId="8" fillId="6" borderId="27" xfId="0" applyNumberFormat="1" applyFont="1" applyFill="1" applyBorder="1"/>
    <x:xf numFmtId="0" fontId="8" fillId="6" borderId="28" xfId="0" applyNumberFormat="1" applyFont="1" applyFill="1" applyBorder="1"/>
    <x:xf numFmtId="0" fontId="8" fillId="6" borderId="29" xfId="0" applyNumberFormat="1" applyFont="1" applyFill="1" applyBorder="1"/>
    <x:xf numFmtId="0" fontId="8" fillId="6" borderId="30" xfId="0" applyNumberFormat="1" applyFont="1" applyFill="1" applyBorder="1"/>
    <x:xf numFmtId="0" fontId="8" fillId="6" borderId="31" xfId="0" applyNumberFormat="1" applyFont="1" applyFill="1" applyBorder="1"/>
    <x:xf numFmtId="0" fontId="8" fillId="6" borderId="20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8" fillId="6" borderId="23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wrapText="1"/>
    </x:xf>
    <x:xf numFmtId="0" fontId="8" fillId="6" borderId="25" xfId="0" applyNumberFormat="1" applyFont="1" applyFill="1" applyBorder="1" applyAlignment="1">
      <x:alignment wrapText="1"/>
    </x:xf>
    <x:xf numFmtId="0" fontId="8" fillId="6" borderId="26" xfId="0" applyNumberFormat="1" applyFont="1" applyFill="1" applyBorder="1" applyAlignment="1">
      <x:alignment wrapText="1"/>
    </x:xf>
    <x:xf numFmtId="0" fontId="8" fillId="6" borderId="27" xfId="0" applyNumberFormat="1" applyFont="1" applyFill="1" applyBorder="1" applyAlignment="1">
      <x:alignment wrapText="1"/>
    </x:xf>
    <x:xf numFmtId="0" fontId="8" fillId="6" borderId="28" xfId="0" applyNumberFormat="1" applyFont="1" applyFill="1" applyBorder="1" applyAlignment="1">
      <x:alignment wrapText="1"/>
    </x:xf>
    <x:xf numFmtId="0" fontId="8" fillId="6" borderId="29" xfId="0" applyNumberFormat="1" applyFont="1" applyFill="1" applyBorder="1" applyAlignment="1">
      <x:alignment wrapText="1"/>
    </x:xf>
    <x:xf numFmtId="0" fontId="8" fillId="6" borderId="30" xfId="0" applyNumberFormat="1" applyFont="1" applyFill="1" applyBorder="1" applyAlignment="1">
      <x:alignment wrapText="1"/>
    </x:xf>
    <x:xf numFmtId="0" fontId="8" fillId="6" borderId="31" xfId="0" applyNumberFormat="1" applyFont="1" applyFill="1" applyBorder="1" applyAlignment="1">
      <x:alignment wrapText="1"/>
    </x:xf>
    <x:xf numFmtId="0" fontId="8" fillId="6" borderId="20" xfId="0" applyNumberFormat="1" applyFont="1" applyFill="1" applyBorder="1" applyAlignment="1">
      <x:alignment vertical="center" wrapText="1"/>
    </x:xf>
    <x:xf numFmtId="0" fontId="8" fillId="6" borderId="21" xfId="0" applyNumberFormat="1" applyFont="1" applyFill="1" applyBorder="1" applyAlignment="1">
      <x:alignment vertical="center" wrapText="1"/>
    </x:xf>
    <x:xf numFmtId="0" fontId="8" fillId="6" borderId="22" xfId="0" applyNumberFormat="1" applyFont="1" applyFill="1" applyBorder="1" applyAlignment="1">
      <x:alignment vertical="center" wrapText="1"/>
    </x:xf>
    <x:xf numFmtId="0" fontId="8" fillId="6" borderId="23" xfId="0" applyNumberFormat="1" applyFont="1" applyFill="1" applyBorder="1" applyAlignment="1">
      <x:alignment vertical="center" wrapText="1"/>
    </x:xf>
    <x:xf numFmtId="0" fontId="8" fillId="6" borderId="24" xfId="0" applyNumberFormat="1" applyFont="1" applyFill="1" applyBorder="1" applyAlignment="1">
      <x:alignment vertical="center" wrapText="1"/>
    </x:xf>
    <x:xf numFmtId="0" fontId="8" fillId="6" borderId="25" xfId="0" applyNumberFormat="1" applyFont="1" applyFill="1" applyBorder="1" applyAlignment="1">
      <x:alignment vertical="center" wrapText="1"/>
    </x:xf>
    <x:xf numFmtId="0" fontId="8" fillId="6" borderId="26" xfId="0" applyNumberFormat="1" applyFont="1" applyFill="1" applyBorder="1" applyAlignment="1">
      <x:alignment vertical="center" wrapText="1"/>
    </x:xf>
    <x:xf numFmtId="0" fontId="8" fillId="6" borderId="27" xfId="0" applyNumberFormat="1" applyFont="1" applyFill="1" applyBorder="1" applyAlignment="1">
      <x:alignment vertical="center" wrapText="1"/>
    </x:xf>
    <x:xf numFmtId="0" fontId="8" fillId="6" borderId="28" xfId="0" applyNumberFormat="1" applyFont="1" applyFill="1" applyBorder="1" applyAlignment="1">
      <x:alignment vertical="center" wrapText="1"/>
    </x:xf>
    <x:xf numFmtId="0" fontId="8" fillId="6" borderId="29" xfId="0" applyNumberFormat="1" applyFont="1" applyFill="1" applyBorder="1" applyAlignment="1">
      <x:alignment vertical="center" wrapText="1"/>
    </x:xf>
    <x:xf numFmtId="0" fontId="8" fillId="6" borderId="30" xfId="0" applyNumberFormat="1" applyFont="1" applyFill="1" applyBorder="1" applyAlignment="1">
      <x:alignment vertical="center" wrapText="1"/>
    </x:xf>
    <x:xf numFmtId="0" fontId="8" fillId="6" borderId="3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3" fillId="5" borderId="7" xfId="0" applyNumberFormat="1" applyFont="1" applyFill="1" applyBorder="1" applyAlignment="1">
      <x:alignment horizontal="center" vertical="center"/>
    </x:xf>
    <x:xf numFmtId="0" fontId="14" fillId="5" borderId="6" xfId="0" applyNumberFormat="1" applyFont="1" applyFill="1" applyBorder="1" applyAlignment="1">
      <x:alignment horizontal="center" vertical="center"/>
    </x:xf>
    <x:xf numFmtId="0" fontId="14" fillId="5" borderId="7" xfId="0" applyNumberFormat="1" applyFont="1" applyFill="1" applyBorder="1" applyAlignment="1">
      <x:alignment horizontal="center" vertical="center"/>
    </x:xf>
    <x:xf numFmtId="0" fontId="13" fillId="5" borderId="8" xfId="0" applyNumberFormat="1" applyFont="1" applyFill="1" applyBorder="1" applyAlignment="1">
      <x:alignment horizontal="center" vertical="center"/>
    </x:xf>
    <x:xf numFmtId="0" fontId="13" fillId="5" borderId="9" xfId="0" applyNumberFormat="1" applyFont="1" applyFill="1" applyBorder="1" applyAlignment="1">
      <x:alignment horizontal="center" vertical="center"/>
    </x:xf>
    <x:xf numFmtId="0" fontId="14" fillId="5" borderId="8" xfId="0" applyNumberFormat="1" applyFont="1" applyFill="1" applyBorder="1" applyAlignment="1">
      <x:alignment horizontal="center" vertical="center"/>
    </x:xf>
    <x:xf numFmtId="0" fontId="14" fillId="5" borderId="9" xfId="0" applyNumberFormat="1" applyFont="1" applyFill="1" applyBorder="1" applyAlignment="1">
      <x:alignment horizontal="center" vertical="center"/>
    </x:xf>
    <x:xf numFmtId="0" fontId="15" fillId="2" borderId="14" xfId="0" applyNumberFormat="1" applyFont="1" applyFill="1" applyBorder="1" applyAlignment="1">
      <x:alignment horizontal="center" vertical="center"/>
    </x:xf>
    <x:xf numFmtId="0" fontId="16" fillId="0" borderId="15" xfId="0" applyNumberFormat="1" applyFont="1" applyFill="1" applyBorder="1"/>
    <x:xf numFmtId="0" fontId="16" fillId="0" borderId="16" xfId="0" applyNumberFormat="1" applyFont="1" applyFill="1" applyBorder="1"/>
    <x:xf numFmtId="0" fontId="16" fillId="0" borderId="15" xfId="0" applyNumberFormat="1" applyFont="1" applyFill="1" applyBorder="1" applyAlignment="1">
      <x:alignment wrapText="1"/>
    </x:xf>
    <x:xf numFmtId="0" fontId="16" fillId="0" borderId="16" xfId="0" applyNumberFormat="1" applyFont="1" applyFill="1" applyBorder="1" applyAlignment="1">
      <x:alignment wrapText="1"/>
    </x:xf>
    <x:xf numFmtId="0" fontId="17" fillId="6" borderId="20" xfId="0" applyNumberFormat="1" applyFont="1" applyFill="1" applyBorder="1" applyAlignment="1">
      <x:alignment vertical="center" wrapText="1"/>
    </x:xf>
    <x:xf numFmtId="0" fontId="17" fillId="6" borderId="21" xfId="0" applyNumberFormat="1" applyFont="1" applyFill="1" applyBorder="1" applyAlignment="1">
      <x:alignment vertical="center" wrapText="1"/>
    </x:xf>
    <x:xf numFmtId="0" fontId="17" fillId="6" borderId="22" xfId="0" applyNumberFormat="1" applyFont="1" applyFill="1" applyBorder="1" applyAlignment="1">
      <x:alignment vertical="center" wrapText="1"/>
    </x:xf>
    <x:xf numFmtId="0" fontId="17" fillId="6" borderId="23" xfId="0" applyNumberFormat="1" applyFont="1" applyFill="1" applyBorder="1" applyAlignment="1">
      <x:alignment vertical="center" wrapText="1"/>
    </x:xf>
    <x:xf numFmtId="0" fontId="17" fillId="6" borderId="24" xfId="0" applyNumberFormat="1" applyFont="1" applyFill="1" applyBorder="1" applyAlignment="1">
      <x:alignment vertical="center" wrapText="1"/>
    </x:xf>
    <x:xf numFmtId="0" fontId="17" fillId="6" borderId="25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12" fillId="4" borderId="4" xfId="0" applyNumberFormat="1" applyFont="1" applyFill="1" applyBorder="1" applyAlignment="1">
      <x:alignment horizontal="center" vertical="center"/>
    </x:xf>
    <x:xf numFmtId="0" fontId="12" fillId="4" borderId="5" xfId="0" applyNumberFormat="1" applyFont="1" applyFill="1" applyBorder="1" applyAlignment="1">
      <x:alignment horizontal="center" vertical="center"/>
    </x:xf>
    <x:xf numFmtId="0" fontId="13" fillId="5" borderId="10" xfId="0" applyNumberFormat="1" applyFont="1" applyFill="1" applyBorder="1" applyAlignment="1">
      <x:alignment horizontal="center" vertical="center"/>
    </x:xf>
    <x:xf numFmtId="0" fontId="13" fillId="5" borderId="11" xfId="0" applyNumberFormat="1" applyFont="1" applyFill="1" applyBorder="1" applyAlignment="1">
      <x:alignment horizontal="center" vertical="center"/>
    </x:xf>
    <x:xf numFmtId="0" fontId="14" fillId="5" borderId="10" xfId="0" applyNumberFormat="1" applyFont="1" applyFill="1" applyBorder="1" applyAlignment="1">
      <x:alignment horizontal="center" vertical="center"/>
    </x:xf>
    <x:xf numFmtId="0" fontId="14" fillId="5" borderId="11" xfId="0" applyNumberFormat="1" applyFont="1" applyFill="1" applyBorder="1" applyAlignment="1">
      <x:alignment horizontal="center" vertical="center"/>
    </x:xf>
    <x:xf numFmtId="0" fontId="13" fillId="5" borderId="12" xfId="0" applyNumberFormat="1" applyFont="1" applyFill="1" applyBorder="1" applyAlignment="1">
      <x:alignment horizontal="center" vertical="center"/>
    </x:xf>
    <x:xf numFmtId="0" fontId="13" fillId="5" borderId="13" xfId="0" applyNumberFormat="1" applyFont="1" applyFill="1" applyBorder="1" applyAlignment="1">
      <x:alignment horizontal="center" vertical="center"/>
    </x:xf>
    <x:xf numFmtId="0" fontId="14" fillId="5" borderId="12" xfId="0" applyNumberFormat="1" applyFont="1" applyFill="1" applyBorder="1" applyAlignment="1">
      <x:alignment horizontal="center" vertical="center"/>
    </x:xf>
    <x:xf numFmtId="0" fontId="14" fillId="5" borderId="13" xfId="0" applyNumberFormat="1" applyFont="1" applyFill="1" applyBorder="1" applyAlignment="1">
      <x:alignment horizontal="center" vertical="center"/>
    </x:xf>
    <x:xf numFmtId="0" fontId="15" fillId="2" borderId="17" xfId="0" applyNumberFormat="1" applyFont="1" applyFill="1" applyBorder="1" applyAlignment="1">
      <x:alignment horizontal="center" vertical="center"/>
    </x:xf>
    <x:xf numFmtId="0" fontId="16" fillId="0" borderId="18" xfId="0" applyNumberFormat="1" applyFont="1" applyFill="1" applyBorder="1"/>
    <x:xf numFmtId="0" fontId="16" fillId="0" borderId="19" xfId="0" applyNumberFormat="1" applyFont="1" applyFill="1" applyBorder="1"/>
    <x:xf numFmtId="0" fontId="16" fillId="0" borderId="18" xfId="0" applyNumberFormat="1" applyFont="1" applyFill="1" applyBorder="1" applyAlignment="1">
      <x:alignment wrapText="1"/>
    </x:xf>
    <x:xf numFmtId="0" fontId="16" fillId="0" borderId="19" xfId="0" applyNumberFormat="1" applyFont="1" applyFill="1" applyBorder="1" applyAlignment="1">
      <x:alignment wrapText="1"/>
    </x:xf>
    <x:xf numFmtId="0" fontId="17" fillId="6" borderId="26" xfId="0" applyNumberFormat="1" applyFont="1" applyFill="1" applyBorder="1" applyAlignment="1">
      <x:alignment vertical="center" wrapText="1"/>
    </x:xf>
    <x:xf numFmtId="0" fontId="17" fillId="6" borderId="27" xfId="0" applyNumberFormat="1" applyFont="1" applyFill="1" applyBorder="1" applyAlignment="1">
      <x:alignment vertical="center" wrapText="1"/>
    </x:xf>
    <x:xf numFmtId="0" fontId="17" fillId="6" borderId="28" xfId="0" applyNumberFormat="1" applyFont="1" applyFill="1" applyBorder="1" applyAlignment="1">
      <x:alignment vertical="center" wrapText="1"/>
    </x:xf>
    <x:xf numFmtId="0" fontId="17" fillId="6" borderId="29" xfId="0" applyNumberFormat="1" applyFont="1" applyFill="1" applyBorder="1" applyAlignment="1">
      <x:alignment vertical="center" wrapText="1"/>
    </x:xf>
    <x:xf numFmtId="0" fontId="17" fillId="6" borderId="30" xfId="0" applyNumberFormat="1" applyFont="1" applyFill="1" applyBorder="1" applyAlignment="1">
      <x:alignment vertical="center" wrapText="1"/>
    </x:xf>
    <x:xf numFmtId="0" fontId="17" fillId="6" borderId="31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1" xfId="0" applyNumberFormat="1" applyFont="1" applyFill="1" applyBorder="1"/>
    <x:xf numFmtId="0" fontId="19" fillId="2" borderId="0" xfId="0" applyNumberFormat="1" applyFont="1" applyFill="1" applyBorder="1"/>
    <x:xf numFmtId="0" fontId="19" fillId="2" borderId="1" xfId="0" applyNumberFormat="1" applyFont="1" applyFill="1" applyBorder="1"/>
    <x:xf numFmtId="0" fontId="19" fillId="2" borderId="32" xfId="0" applyNumberFormat="1" applyFont="1" applyFill="1" applyBorder="1"/>
    <x:xf numFmtId="0" fontId="19" fillId="2" borderId="33" xfId="0" applyNumberFormat="1" applyFont="1" applyFill="1" applyBorder="1"/>
    <x:xf numFmtId="0" fontId="19" fillId="2" borderId="32" xfId="0" applyNumberFormat="1" applyFont="1" applyFill="1" applyBorder="1" applyAlignment="1">
      <x:alignment wrapText="1"/>
    </x:xf>
    <x:xf numFmtId="0" fontId="19" fillId="2" borderId="33" xfId="0" applyNumberFormat="1" applyFont="1" applyFill="1" applyBorder="1" applyAlignment="1">
      <x:alignment wrapText="1"/>
    </x:xf>
    <x:xf numFmtId="0" fontId="19" fillId="2" borderId="32" xfId="0" applyNumberFormat="1" applyFont="1" applyFill="1" applyBorder="1" applyAlignment="1">
      <x:alignment vertical="center" wrapText="1"/>
    </x:xf>
    <x:xf numFmtId="0" fontId="19" fillId="2" borderId="33" xfId="0" applyNumberFormat="1" applyFont="1" applyFill="1" applyBorder="1" applyAlignment="1">
      <x:alignment vertical="center" wrapText="1"/>
    </x:xf>
    <x:xf numFmtId="0" fontId="18" fillId="0" borderId="34" xfId="0" applyNumberFormat="1" applyFont="1" applyFill="1" applyBorder="1"/>
    <x:xf numFmtId="0" fontId="18" fillId="0" borderId="35" xfId="0" applyNumberFormat="1" applyFont="1" applyFill="1" applyBorder="1"/>
    <x:xf numFmtId="0" fontId="18" fillId="0" borderId="36" xfId="0" applyNumberFormat="1" applyFont="1" applyFill="1" applyBorder="1"/>
    <x:xf numFmtId="0" fontId="18" fillId="0" borderId="37" xfId="0" applyNumberFormat="1" applyFont="1" applyFill="1" applyBorder="1"/>
    <x:xf numFmtId="0" fontId="18" fillId="0" borderId="38" xfId="0" applyNumberFormat="1" applyFont="1" applyFill="1" applyBorder="1"/>
    <x:xf numFmtId="0" fontId="18" fillId="0" borderId="39" xfId="0" applyNumberFormat="1" applyFont="1" applyFill="1" applyBorder="1"/>
    <x:xf numFmtId="0" fontId="18" fillId="0" borderId="34" xfId="0" applyNumberFormat="1" applyFont="1" applyFill="1" applyBorder="1" applyAlignment="1">
      <x:alignment vertical="top"/>
    </x:xf>
    <x:xf numFmtId="0" fontId="18" fillId="0" borderId="35" xfId="0" applyNumberFormat="1" applyFont="1" applyFill="1" applyBorder="1" applyAlignment="1">
      <x:alignment vertical="top"/>
    </x:xf>
    <x:xf numFmtId="0" fontId="18" fillId="0" borderId="36" xfId="0" applyNumberFormat="1" applyFont="1" applyFill="1" applyBorder="1" applyAlignment="1">
      <x:alignment vertical="top"/>
    </x:xf>
    <x:xf numFmtId="0" fontId="18" fillId="0" borderId="37" xfId="0" applyNumberFormat="1" applyFont="1" applyFill="1" applyBorder="1" applyAlignment="1">
      <x:alignment vertical="top"/>
    </x:xf>
    <x:xf numFmtId="0" fontId="18" fillId="0" borderId="38" xfId="0" applyNumberFormat="1" applyFont="1" applyFill="1" applyBorder="1" applyAlignment="1">
      <x:alignment vertical="top"/>
    </x:xf>
    <x:xf numFmtId="0" fontId="18" fillId="0" borderId="39" xfId="0" applyNumberFormat="1" applyFont="1" applyFill="1" applyBorder="1" applyAlignment="1">
      <x:alignment vertical="top"/>
    </x:xf>
    <x:xf numFmtId="0" fontId="18" fillId="0" borderId="34" xfId="0" applyNumberFormat="1" applyFont="1" applyFill="1" applyBorder="1" applyAlignment="1">
      <x:alignment vertical="top" wrapText="1"/>
    </x:xf>
    <x:xf numFmtId="0" fontId="18" fillId="0" borderId="35" xfId="0" applyNumberFormat="1" applyFont="1" applyFill="1" applyBorder="1" applyAlignment="1">
      <x:alignment vertical="top" wrapText="1"/>
    </x:xf>
    <x:xf numFmtId="0" fontId="18" fillId="0" borderId="36" xfId="0" applyNumberFormat="1" applyFont="1" applyFill="1" applyBorder="1" applyAlignment="1">
      <x:alignment vertical="top" wrapText="1"/>
    </x:xf>
    <x:xf numFmtId="0" fontId="18" fillId="0" borderId="37" xfId="0" applyNumberFormat="1" applyFont="1" applyFill="1" applyBorder="1" applyAlignment="1">
      <x:alignment vertical="top" wrapText="1"/>
    </x:xf>
    <x:xf numFmtId="0" fontId="18" fillId="0" borderId="38" xfId="0" applyNumberFormat="1" applyFont="1" applyFill="1" applyBorder="1" applyAlignment="1">
      <x:alignment vertical="top" wrapText="1"/>
    </x:xf>
    <x:xf numFmtId="0" fontId="18" fillId="0" borderId="39" xfId="0" applyNumberFormat="1" applyFont="1" applyFill="1" applyBorder="1" applyAlignment="1">
      <x:alignment vertical="top" wrapText="1"/>
    </x:xf>
    <x:xf numFmtId="0" fontId="18" fillId="0" borderId="34" xfId="0" applyNumberFormat="1" applyFont="1" applyFill="1" applyBorder="1" applyAlignment="1">
      <x:alignment horizontal="center" vertical="top"/>
    </x:xf>
    <x:xf numFmtId="0" fontId="18" fillId="0" borderId="35" xfId="0" applyNumberFormat="1" applyFont="1" applyFill="1" applyBorder="1" applyAlignment="1">
      <x:alignment horizontal="center" vertical="top"/>
    </x:xf>
    <x:xf numFmtId="0" fontId="18" fillId="0" borderId="36" xfId="0" applyNumberFormat="1" applyFont="1" applyFill="1" applyBorder="1" applyAlignment="1">
      <x:alignment horizontal="center" vertical="top"/>
    </x:xf>
    <x:xf numFmtId="0" fontId="18" fillId="0" borderId="37" xfId="0" applyNumberFormat="1" applyFont="1" applyFill="1" applyBorder="1" applyAlignment="1">
      <x:alignment horizontal="center" vertical="top"/>
    </x:xf>
    <x:xf numFmtId="0" fontId="18" fillId="0" borderId="38" xfId="0" applyNumberFormat="1" applyFont="1" applyFill="1" applyBorder="1" applyAlignment="1">
      <x:alignment horizontal="center" vertical="top"/>
    </x:xf>
    <x:xf numFmtId="0" fontId="18" fillId="0" borderId="39" xfId="0" applyNumberFormat="1" applyFont="1" applyFill="1" applyBorder="1" applyAlignment="1">
      <x:alignment horizontal="center" vertical="top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0" fontId="16" fillId="7" borderId="0" xfId="0" applyNumberFormat="1" applyFont="1" applyFill="1" applyBorder="1"/>
    <x:xf numFmtId="0" fontId="16" fillId="7" borderId="1" xfId="0" applyNumberFormat="1" applyFont="1" applyFill="1" applyBorder="1"/>
    <x:xf numFmtId="0" fontId="15" fillId="7" borderId="0" xfId="0" applyNumberFormat="1" applyFont="1" applyFill="1" applyBorder="1"/>
    <x:xf numFmtId="0" fontId="15" fillId="7" borderId="1" xfId="0" applyNumberFormat="1" applyFont="1" applyFill="1" applyBorder="1"/>
    <x:xf numFmtId="0" fontId="16" fillId="0" borderId="14" xfId="0" applyNumberFormat="1" applyFont="1" applyFill="1" applyBorder="1"/>
    <x:xf numFmtId="0" fontId="16" fillId="0" borderId="40" xfId="0" applyNumberFormat="1" applyFont="1" applyFill="1" applyBorder="1"/>
    <x:xf numFmtId="0" fontId="16" fillId="0" borderId="17" xfId="0" applyNumberFormat="1" applyFont="1" applyFill="1" applyBorder="1"/>
    <x:xf numFmtId="0" fontId="16" fillId="0" borderId="41" xfId="0" applyNumberFormat="1" applyFont="1" applyFill="1" applyBorder="1"/>
    <x:xf numFmtId="0" fontId="16" fillId="0" borderId="14" xfId="0" applyNumberFormat="1" applyFont="1" applyFill="1" applyBorder="1" applyAlignment="1">
      <x:alignment wrapText="1"/>
    </x:xf>
    <x:xf numFmtId="0" fontId="16" fillId="0" borderId="40" xfId="0" applyNumberFormat="1" applyFont="1" applyFill="1" applyBorder="1" applyAlignment="1">
      <x:alignment wrapText="1"/>
    </x:xf>
    <x:xf numFmtId="0" fontId="16" fillId="0" borderId="17" xfId="0" applyNumberFormat="1" applyFont="1" applyFill="1" applyBorder="1" applyAlignment="1">
      <x:alignment wrapText="1"/>
    </x:xf>
    <x:xf numFmtId="0" fontId="16" fillId="0" borderId="41" xfId="0" applyNumberFormat="1" applyFont="1" applyFill="1" applyBorder="1" applyAlignment="1">
      <x:alignment wrapText="1"/>
    </x:xf>
    <x:xf numFmtId="0" fontId="16" fillId="0" borderId="14" xfId="0" applyNumberFormat="1" applyFont="1" applyFill="1" applyBorder="1" applyAlignment="1">
      <x:alignment vertical="top" wrapText="1"/>
    </x:xf>
    <x:xf numFmtId="0" fontId="16" fillId="0" borderId="15" xfId="0" applyNumberFormat="1" applyFont="1" applyFill="1" applyBorder="1" applyAlignment="1">
      <x:alignment vertical="top" wrapText="1"/>
    </x:xf>
    <x:xf numFmtId="0" fontId="16" fillId="0" borderId="40" xfId="0" applyNumberFormat="1" applyFont="1" applyFill="1" applyBorder="1" applyAlignment="1">
      <x:alignment vertical="top" wrapText="1"/>
    </x:xf>
    <x:xf numFmtId="0" fontId="16" fillId="0" borderId="17" xfId="0" applyNumberFormat="1" applyFont="1" applyFill="1" applyBorder="1" applyAlignment="1">
      <x:alignment vertical="top" wrapText="1"/>
    </x:xf>
    <x:xf numFmtId="0" fontId="16" fillId="0" borderId="18" xfId="0" applyNumberFormat="1" applyFont="1" applyFill="1" applyBorder="1" applyAlignment="1">
      <x:alignment vertical="top" wrapText="1"/>
    </x:xf>
    <x:xf numFmtId="0" fontId="16" fillId="0" borderId="41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1" xfId="0" applyNumberFormat="1" applyFont="1" applyFill="1" applyBorder="1"/>
    <x:xf numFmtId="0" fontId="15" fillId="2" borderId="0" xfId="0" applyNumberFormat="1" applyFont="1" applyFill="1" applyBorder="1"/>
    <x:xf numFmtId="0" fontId="15" fillId="2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A22920"/>
      </x:font>
      <x:fill>
        <x:patternFill patternType="solid">
          <x:bgColor rgb="FFFCE8E6"/>
        </x:patternFill>
      </x:fill>
    </x:dxf>
    <x:dxf>
      <x:font>
        <x:b/>
        <x:color rgb="FF1E6B3A"/>
      </x:font>
      <x:fill>
        <x:patternFill patternType="solid">
          <x:bgColor rgb="FFE8F4EA"/>
        </x:patternFill>
      </x:fill>
    </x:dxf>
    <x:dxf>
      <x:font>
        <x:b/>
        <x:color rgb="FFA22920"/>
      </x:font>
      <x:fill>
        <x:patternFill patternType="solid">
          <x:bgColor rgb="FFFCE8E6"/>
        </x:patternFill>
      </x:fill>
    </x:dxf>
    <x:dxf>
      <x:font>
        <x:i/>
        <x:color rgb="FF66717E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63e70189c42e1" /><Relationship Type="http://schemas.openxmlformats.org/officeDocument/2006/relationships/theme" Target="/xl/theme/theme1.xml" Id="R5982c8c5d75343eb" /><Relationship Type="http://schemas.openxmlformats.org/officeDocument/2006/relationships/sharedStrings" Target="/xl/sharedStrings.xml" Id="R222f0c6a44ff441c" /><Relationship Type="http://schemas.openxmlformats.org/officeDocument/2006/relationships/worksheet" Target="/xl/worksheets/sheet1.xml" Id="Re9efd9436d4f4362" /><Relationship Type="http://schemas.openxmlformats.org/officeDocument/2006/relationships/worksheet" Target="/xl/worksheets/sheet2.xml" Id="Rff4f3c0341b04d68" /><Relationship Type="http://schemas.openxmlformats.org/officeDocument/2006/relationships/worksheet" Target="/xl/worksheets/sheet3.xml" Id="R258014cf157f4f6a" /><Relationship Type="http://schemas.openxmlformats.org/officeDocument/2006/relationships/worksheet" Target="/xl/worksheets/sheet4.xml" Id="R7a52c9cad5e648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62c443de7c4e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样本平台分布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样本数</c:v>
          </c:tx>
          <c:cat>
            <c:strRef>
              <c:f>'概览'!$A$9:$A$16</c:f>
              <c:strCache>
                <c:ptCount val="0"/>
              </c:strCache>
            </c:strRef>
          </c:cat>
          <c:val>
            <c:numRef>
              <c:f>'概览'!$B$9:$B$16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62c443de7c4e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ocSamplesTable" displayName="VocSamplesTable" ref="A1:W125" headerRowCount="1" totalsRowCount="0" totalsRowShown="0">
  <x:tableColumns count="23">
    <x:tableColumn id="1" name="sample_id"/>
    <x:tableColumn id="2" name="platform"/>
    <x:tableColumn id="3" name="market"/>
    <x:tableColumn id="4" name="language"/>
    <x:tableColumn id="5" name="author_display"/>
    <x:tableColumn id="6" name="published_at"/>
    <x:tableColumn id="7" name="title"/>
    <x:tableColumn id="8" name="source_url"/>
    <x:tableColumn id="9" name="source_precision"/>
    <x:tableColumn id="10" name="engagement_metric"/>
    <x:tableColumn id="11" name="engagement_count"/>
    <x:tableColumn id="12" name="content_summary"/>
    <x:tableColumn id="13" name="comment_theme"/>
    <x:tableColumn id="14" name="sentiment"/>
    <x:tableColumn id="15" name="journey"/>
    <x:tableColumn id="16" name="category_ip"/>
    <x:tableColumn id="17" name="primary_theme"/>
    <x:tableColumn id="18" name="severity_1_5"/>
    <x:tableColumn id="19" name="product_dev_relevance"/>
    <x:tableColumn id="20" name="opportunity_tag"/>
    <x:tableColumn id="21" name="evidence_level"/>
    <x:tableColumn id="22" name="included_in_analysis"/>
    <x:tableColumn id="23" name="collectio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hsEvidenceTable" displayName="XhsEvidenceTable" ref="A1:F14" headerRowCount="1" totalsRowCount="0" totalsRowShown="0">
  <x:tableColumns count="6">
    <x:tableColumn id="1" name="sample_id"/>
    <x:tableColumn id="2" name="source_url"/>
    <x:tableColumn id="3" name="content_summary"/>
    <x:tableColumn id="4" name="comment_theme"/>
    <x:tableColumn id="5" name="engagement_visible"/>
    <x:tableColumn id="6" name="evidence_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odebookTable" displayName="CodebookTable" ref="A1:C21" headerRowCount="1" totalsRowCount="0" totalsRowShown="0">
  <x:tableColumns count="3">
    <x:tableColumn id="1" name="field"/>
    <x:tableColumn id="2" name="description"/>
    <x:tableColumn id="3" name="type_or_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3a17c4cbfb42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bb453492834f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5c6d7fd2fe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8823d2bb3814f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  <x:col min="8" max="8" width="42" hidden="0" customWidth="1"/>
    <x:col min="9" max="9" width="17" hidden="0" customWidth="1"/>
    <x:col min="10" max="10" width="17" hidden="0" customWidth="1"/>
    <x:col min="11" max="11" width="17" hidden="0" customWidth="1"/>
    <x:col min="12" max="12" width="42" hidden="0" customWidth="1"/>
    <x:col min="13" max="13" width="4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2" hidden="0" customWidth="1"/>
    <x:col min="19" max="19" width="15" hidden="0" customWidth="1"/>
    <x:col min="20" max="20" width="3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4" customHeight="1">
      <x:c r="A1" s="202" t="str">
        <x:v>sample_id</x:v>
      </x:c>
      <x:c r="B1" s="202" t="str">
        <x:v>platform</x:v>
      </x:c>
      <x:c r="C1" s="202" t="str">
        <x:v>market</x:v>
      </x:c>
      <x:c r="D1" s="202" t="str">
        <x:v>language</x:v>
      </x:c>
      <x:c r="E1" s="202" t="str">
        <x:v>author_display</x:v>
      </x:c>
      <x:c r="F1" s="202" t="str">
        <x:v>published_at</x:v>
      </x:c>
      <x:c r="G1" s="202" t="str">
        <x:v>title</x:v>
      </x:c>
      <x:c r="H1" s="202" t="str">
        <x:v>source_url</x:v>
      </x:c>
      <x:c r="I1" s="202" t="str">
        <x:v>source_precision</x:v>
      </x:c>
      <x:c r="J1" s="202" t="str">
        <x:v>engagement_metric</x:v>
      </x:c>
      <x:c r="K1" s="202" t="str">
        <x:v>engagement_count</x:v>
      </x:c>
      <x:c r="L1" s="202" t="str">
        <x:v>content_summary</x:v>
      </x:c>
      <x:c r="M1" s="202" t="str">
        <x:v>comment_theme</x:v>
      </x:c>
      <x:c r="N1" s="202" t="str">
        <x:v>sentiment</x:v>
      </x:c>
      <x:c r="O1" s="202" t="str">
        <x:v>journey</x:v>
      </x:c>
      <x:c r="P1" s="202" t="str">
        <x:v>category_ip</x:v>
      </x:c>
      <x:c r="Q1" s="202" t="str">
        <x:v>primary_theme</x:v>
      </x:c>
      <x:c r="R1" s="202" t="str">
        <x:v>severity_1_5</x:v>
      </x:c>
      <x:c r="S1" s="202" t="str">
        <x:v>product_dev_relevance</x:v>
      </x:c>
      <x:c r="T1" s="202" t="str">
        <x:v>opportunity_tag</x:v>
      </x:c>
      <x:c r="U1" s="202" t="str">
        <x:v>evidence_level</x:v>
      </x:c>
      <x:c r="V1" s="202" t="str">
        <x:v>included_in_analysis</x:v>
      </x:c>
      <x:c r="W1" s="202" t="str">
        <x:v>collection_date</x:v>
      </x:c>
    </x:row>
    <x:row r="2">
      <x:c r="A2" s="210" t="str">
        <x:v>xhs-6a5854930000000011018eb3</x:v>
      </x:c>
      <x:c r="B2" s="210" t="str">
        <x:v>小红书</x:v>
      </x:c>
      <x:c r="C2" s="210" t="str">
        <x:v>中国</x:v>
      </x:c>
      <x:c r="D2" s="210" t="str">
        <x:v>中文</x:v>
      </x:c>
      <x:c r="E2" s="210" t="str">
        <x:v>向南</x:v>
      </x:c>
      <x:c r="F2" s="210" t="str">
        <x:v>1天前</x:v>
      </x:c>
      <x:c r="G2" s="216" t="str">
        <x:v>名创优品招人</x:v>
      </x:c>
      <x:c r="H2" s="210" t="str">
        <x:v>https://www.rednote.com/explore/6a5854930000000011018eb3</x:v>
      </x:c>
      <x:c r="I2" s="210" t="str">
        <x:v>单条内容页</x:v>
      </x:c>
      <x:c r="J2" s="210" t="str">
        <x:v>搜索卡片可见点赞</x:v>
      </x:c>
      <x:c r="K2" s="210" t="str">
        <x:v>41</x:v>
      </x:c>
      <x:c r="L2" s="216" t="str">
        <x:v>名创优品招人</x:v>
      </x:c>
      <x:c r="M2" s="216" t="str">
        <x:v>未读取评论；仅按公开标题/摘要编码</x:v>
      </x:c>
      <x:c r="N2" s="210" t="str">
        <x:v>中性</x:v>
      </x:c>
      <x:c r="O2" s="210" t="str">
        <x:v>发现/比较</x:v>
      </x:c>
      <x:c r="P2" s="210" t="str">
        <x:v>非消费反馈</x:v>
      </x:c>
      <x:c r="Q2" s="210" t="str">
        <x:v>检索噪声/雇主品牌</x:v>
      </x:c>
      <x:c r="R2" s="222" t="str">
        <x:v>2</x:v>
      </x:c>
      <x:c r="S2" s="210" t="str">
        <x:v>低</x:v>
      </x:c>
      <x:c r="T2" s="216" t="str">
        <x:v>高频任务型单品池与复购验证</x:v>
      </x:c>
      <x:c r="U2" s="210" t="str">
        <x:v>B-搜索结果卡片</x:v>
      </x:c>
      <x:c r="V2" s="210" t="str">
        <x:v>否</x:v>
      </x:c>
      <x:c r="W2" s="210" t="str">
        <x:v>2026-07-18</x:v>
      </x:c>
    </x:row>
    <x:row r="3">
      <x:c r="A3" s="211" t="str">
        <x:v>xhs-69f205bb000000001a035cbb</x:v>
      </x:c>
      <x:c r="B3" s="211" t="str">
        <x:v>小红书</x:v>
      </x:c>
      <x:c r="C3" s="211" t="str">
        <x:v>中国</x:v>
      </x:c>
      <x:c r="D3" s="211" t="str">
        <x:v>中文</x:v>
      </x:c>
      <x:c r="E3" s="211" t="str">
        <x:v>陳老C</x:v>
      </x:c>
      <x:c r="F3" s="211" t="str">
        <x:v>04-29</x:v>
      </x:c>
      <x:c r="G3" s="217" t="str">
        <x:v>名创miniso你让我越来越陌生了</x:v>
      </x:c>
      <x:c r="H3" s="211" t="str">
        <x:v>https://www.rednote.com/explore/69f205bb000000001a035cbb</x:v>
      </x:c>
      <x:c r="I3" s="211" t="str">
        <x:v>单条内容页</x:v>
      </x:c>
      <x:c r="J3" s="211" t="str">
        <x:v>点赞/收藏/评论</x:v>
      </x:c>
      <x:c r="K3" s="211" t="str">
        <x:v>点赞282;收藏60;评论9</x:v>
      </x:c>
      <x:c r="L3" s="217" t="str">
        <x:v>标题表达品牌价格/定位变化；评论同时提到价格上涨、质量尚可、应急购买便利和生活用品齐全。</x:v>
      </x:c>
      <x:c r="M3" s="217" t="str">
        <x:v>价格变贵但质量/便利可抵消；用户频繁询价；应急一站购价值突出</x:v>
      </x:c>
      <x:c r="N3" s="211" t="str">
        <x:v>混合/待判断</x:v>
      </x:c>
      <x:c r="O3" s="211" t="str">
        <x:v>发现/比较</x:v>
      </x:c>
      <x:c r="P3" s="211" t="str">
        <x:v>生活日用</x:v>
      </x:c>
      <x:c r="Q3" s="211" t="str">
        <x:v>性价比与价格锚点</x:v>
      </x:c>
      <x:c r="R3" s="223" t="str">
        <x:v>3</x:v>
      </x:c>
      <x:c r="S3" s="211" t="str">
        <x:v>高</x:v>
      </x:c>
      <x:c r="T3" s="217" t="str">
        <x:v>价格带-功能价值联合测试</x:v>
      </x:c>
      <x:c r="U3" s="211" t="str">
        <x:v>A-详情页含公开评论</x:v>
      </x:c>
      <x:c r="V3" s="211" t="str">
        <x:v>是</x:v>
      </x:c>
      <x:c r="W3" s="211" t="str">
        <x:v>2026-07-18</x:v>
      </x:c>
    </x:row>
    <x:row r="4">
      <x:c r="A4" s="211" t="str">
        <x:v>xhs-69a81a75000000001a02b122</x:v>
      </x:c>
      <x:c r="B4" s="211" t="str">
        <x:v>小红书</x:v>
      </x:c>
      <x:c r="C4" s="211" t="str">
        <x:v>中国</x:v>
      </x:c>
      <x:c r="D4" s="211" t="str">
        <x:v>中文</x:v>
      </x:c>
      <x:c r="E4" s="211" t="str">
        <x:v>大发ciel</x:v>
      </x:c>
      <x:c r="F4" s="211" t="str">
        <x:v>03-04</x:v>
      </x:c>
      <x:c r="G4" s="217" t="str">
        <x:v>miniso名创优品必买清单（无广分享）</x:v>
      </x:c>
      <x:c r="H4" s="211" t="str">
        <x:v>https://www.rednote.com/explore/69a81a75000000001a02b122</x:v>
      </x:c>
      <x:c r="I4" s="211" t="str">
        <x:v>单条内容页</x:v>
      </x:c>
      <x:c r="J4" s="211" t="str">
        <x:v>搜索卡片可见点赞</x:v>
      </x:c>
      <x:c r="K4" s="211" t="str">
        <x:v>2088</x:v>
      </x:c>
      <x:c r="L4" s="217" t="str">
        <x:v>miniso名创优品必买清单（无广分享）</x:v>
      </x:c>
      <x:c r="M4" s="217" t="str">
        <x:v>未读取评论；仅按公开标题/摘要编码</x:v>
      </x:c>
      <x:c r="N4" s="211" t="str">
        <x:v>正向</x:v>
      </x:c>
      <x:c r="O4" s="211" t="str">
        <x:v>发现/比较</x:v>
      </x:c>
      <x:c r="P4" s="211" t="str">
        <x:v>生活日用</x:v>
      </x:c>
      <x:c r="Q4" s="211" t="str">
        <x:v>高频使用与复购价值</x:v>
      </x:c>
      <x:c r="R4" s="223" t="str">
        <x:v>2</x:v>
      </x:c>
      <x:c r="S4" s="211" t="str">
        <x:v>高</x:v>
      </x:c>
      <x:c r="T4" s="217" t="str">
        <x:v>高频任务型单品池与复购验证</x:v>
      </x:c>
      <x:c r="U4" s="211" t="str">
        <x:v>B-搜索结果卡片</x:v>
      </x:c>
      <x:c r="V4" s="211" t="str">
        <x:v>是</x:v>
      </x:c>
      <x:c r="W4" s="211" t="str">
        <x:v>2026-07-18</x:v>
      </x:c>
    </x:row>
    <x:row r="5">
      <x:c r="A5" s="211" t="str">
        <x:v>xhs-68e8db7000000000070177fb</x:v>
      </x:c>
      <x:c r="B5" s="211" t="str">
        <x:v>小红书</x:v>
      </x:c>
      <x:c r="C5" s="211" t="str">
        <x:v>中国</x:v>
      </x:c>
      <x:c r="D5" s="211" t="str">
        <x:v>中文</x:v>
      </x:c>
      <x:c r="E5" s="211" t="str">
        <x:v>Ariel</x:v>
      </x:c>
      <x:c r="F5" s="211" t="str">
        <x:v>2025-10-10</x:v>
      </x:c>
      <x:c r="G5" s="217" t="str">
        <x:v>横琴口岸超大名创优品开业啦！</x:v>
      </x:c>
      <x:c r="H5" s="211" t="str">
        <x:v>https://www.rednote.com/explore/68e8db7000000000070177fb</x:v>
      </x:c>
      <x:c r="I5" s="211" t="str">
        <x:v>单条内容页</x:v>
      </x:c>
      <x:c r="J5" s="211" t="str">
        <x:v>搜索卡片可见点赞</x:v>
      </x:c>
      <x:c r="K5" s="211" t="str">
        <x:v>96</x:v>
      </x:c>
      <x:c r="L5" s="217" t="str">
        <x:v>横琴口岸超大名创优品开业啦！</x:v>
      </x:c>
      <x:c r="M5" s="217" t="str">
        <x:v>未读取评论；仅按公开标题/摘要编码</x:v>
      </x:c>
      <x:c r="N5" s="211" t="str">
        <x:v>中性</x:v>
      </x:c>
      <x:c r="O5" s="211" t="str">
        <x:v>到店体验</x:v>
      </x:c>
      <x:c r="P5" s="211" t="str">
        <x:v>门店体验</x:v>
      </x:c>
      <x:c r="Q5" s="211" t="str">
        <x:v>门店分级与逛店体验</x:v>
      </x:c>
      <x:c r="R5" s="223" t="str">
        <x:v>2</x:v>
      </x:c>
      <x:c r="S5" s="211" t="str">
        <x:v>高</x:v>
      </x:c>
      <x:c r="T5" s="217" t="str">
        <x:v>店型承诺、货盘与陈列一致性检查</x:v>
      </x:c>
      <x:c r="U5" s="211" t="str">
        <x:v>B-搜索结果卡片</x:v>
      </x:c>
      <x:c r="V5" s="211" t="str">
        <x:v>是</x:v>
      </x:c>
      <x:c r="W5" s="211" t="str">
        <x:v>2026-07-18</x:v>
      </x:c>
    </x:row>
    <x:row r="6">
      <x:c r="A6" s="211" t="str">
        <x:v>xhs-6a5778a9000000001702d6fa</x:v>
      </x:c>
      <x:c r="B6" s="211" t="str">
        <x:v>小红书</x:v>
      </x:c>
      <x:c r="C6" s="211" t="str">
        <x:v>中国</x:v>
      </x:c>
      <x:c r="D6" s="211" t="str">
        <x:v>中文</x:v>
      </x:c>
      <x:c r="E6" s="211" t="str">
        <x:v>郑郑拾物记</x:v>
      </x:c>
      <x:c r="F6" s="211" t="str">
        <x:v>2天前</x:v>
      </x:c>
      <x:c r="G6" s="217" t="str">
        <x:v>学生党去Miniso值得入手的一些小单品</x:v>
      </x:c>
      <x:c r="H6" s="211" t="str">
        <x:v>https://www.rednote.com/explore/6a5778a9000000001702d6fa</x:v>
      </x:c>
      <x:c r="I6" s="211" t="str">
        <x:v>单条内容页</x:v>
      </x:c>
      <x:c r="J6" s="211" t="str">
        <x:v>搜索卡片可见点赞</x:v>
      </x:c>
      <x:c r="K6" s="211" t="str">
        <x:v>17</x:v>
      </x:c>
      <x:c r="L6" s="217" t="str">
        <x:v>学生党去Miniso值得入手的一些小单品</x:v>
      </x:c>
      <x:c r="M6" s="217" t="str">
        <x:v>未读取评论；仅按公开标题/摘要编码</x:v>
      </x:c>
      <x:c r="N6" s="211" t="str">
        <x:v>正向</x:v>
      </x:c>
      <x:c r="O6" s="211" t="str">
        <x:v>发现/比较</x:v>
      </x:c>
      <x:c r="P6" s="211" t="str">
        <x:v>综合/其他</x:v>
      </x:c>
      <x:c r="Q6" s="211" t="str">
        <x:v>产品发现与购买决策</x:v>
      </x:c>
      <x:c r="R6" s="223" t="str">
        <x:v>2</x:v>
      </x:c>
      <x:c r="S6" s="211" t="str">
        <x:v>中</x:v>
      </x:c>
      <x:c r="T6" s="217" t="str">
        <x:v>高频任务型单品池与复购验证</x:v>
      </x:c>
      <x:c r="U6" s="211" t="str">
        <x:v>B-搜索结果卡片</x:v>
      </x:c>
      <x:c r="V6" s="211" t="str">
        <x:v>是</x:v>
      </x:c>
      <x:c r="W6" s="211" t="str">
        <x:v>2026-07-18</x:v>
      </x:c>
    </x:row>
    <x:row r="7">
      <x:c r="A7" s="211" t="str">
        <x:v>xhs-6a1e66ce000000003700ff4d</x:v>
      </x:c>
      <x:c r="B7" s="211" t="str">
        <x:v>小红书</x:v>
      </x:c>
      <x:c r="C7" s="211" t="str">
        <x:v>中国</x:v>
      </x:c>
      <x:c r="D7" s="211" t="str">
        <x:v>中文</x:v>
      </x:c>
      <x:c r="E7" s="211" t="str">
        <x:v>喜欢天晴～</x:v>
      </x:c>
      <x:c r="F7" s="211" t="str">
        <x:v>06-02</x:v>
      </x:c>
      <x:c r="G7" s="217" t="str">
        <x:v>一些被低估的名创优品好物（20r内</x:v>
      </x:c>
      <x:c r="H7" s="211" t="str">
        <x:v>https://www.rednote.com/explore/6a1e66ce000000003700ff4d</x:v>
      </x:c>
      <x:c r="I7" s="211" t="str">
        <x:v>单条内容页</x:v>
      </x:c>
      <x:c r="J7" s="211" t="str">
        <x:v>搜索卡片可见点赞</x:v>
      </x:c>
      <x:c r="K7" s="211" t="str">
        <x:v>145</x:v>
      </x:c>
      <x:c r="L7" s="217" t="str">
        <x:v>一些被低估的名创优品好物（20r内</x:v>
      </x:c>
      <x:c r="M7" s="217" t="str">
        <x:v>未读取评论；仅按公开标题/摘要编码</x:v>
      </x:c>
      <x:c r="N7" s="211" t="str">
        <x:v>正向</x:v>
      </x:c>
      <x:c r="O7" s="211" t="str">
        <x:v>发现/比较</x:v>
      </x:c>
      <x:c r="P7" s="211" t="str">
        <x:v>生活日用</x:v>
      </x:c>
      <x:c r="Q7" s="211" t="str">
        <x:v>高频使用与复购价值</x:v>
      </x:c>
      <x:c r="R7" s="223" t="str">
        <x:v>2</x:v>
      </x:c>
      <x:c r="S7" s="211" t="str">
        <x:v>高</x:v>
      </x:c>
      <x:c r="T7" s="217" t="str">
        <x:v>高频任务型单品池与复购验证</x:v>
      </x:c>
      <x:c r="U7" s="211" t="str">
        <x:v>B-搜索结果卡片</x:v>
      </x:c>
      <x:c r="V7" s="211" t="str">
        <x:v>是</x:v>
      </x:c>
      <x:c r="W7" s="211" t="str">
        <x:v>2026-07-18</x:v>
      </x:c>
    </x:row>
    <x:row r="8">
      <x:c r="A8" s="211" t="str">
        <x:v>xhs-69f1bc4d000000003502f5eb</x:v>
      </x:c>
      <x:c r="B8" s="211" t="str">
        <x:v>小红书</x:v>
      </x:c>
      <x:c r="C8" s="211" t="str">
        <x:v>中国</x:v>
      </x:c>
      <x:c r="D8" s="211" t="str">
        <x:v>中文</x:v>
      </x:c>
      <x:c r="E8" s="211" t="str">
        <x:v>罗小黑</x:v>
      </x:c>
      <x:c r="F8" s="211" t="str">
        <x:v>04-29</x:v>
      </x:c>
      <x:c r="G8" s="217" t="str">
        <x:v>名创优品99-40 券|购物清单</x:v>
      </x:c>
      <x:c r="H8" s="211" t="str">
        <x:v>https://www.rednote.com/explore/69f1bc4d000000003502f5eb</x:v>
      </x:c>
      <x:c r="I8" s="211" t="str">
        <x:v>单条内容页</x:v>
      </x:c>
      <x:c r="J8" s="211" t="str">
        <x:v>搜索卡片可见点赞</x:v>
      </x:c>
      <x:c r="K8" s="211" t="str">
        <x:v>82</x:v>
      </x:c>
      <x:c r="L8" s="217" t="str">
        <x:v>名创优品99-40 券|购物清单</x:v>
      </x:c>
      <x:c r="M8" s="217" t="str">
        <x:v>未读取评论；仅按公开标题/摘要编码</x:v>
      </x:c>
      <x:c r="N8" s="211" t="str">
        <x:v>中性</x:v>
      </x:c>
      <x:c r="O8" s="211" t="str">
        <x:v>购买中</x:v>
      </x:c>
      <x:c r="P8" s="211" t="str">
        <x:v>生活日用</x:v>
      </x:c>
      <x:c r="Q8" s="211" t="str">
        <x:v>促销门槛与价格敏感</x:v>
      </x:c>
      <x:c r="R8" s="223" t="str">
        <x:v>2</x:v>
      </x:c>
      <x:c r="S8" s="211" t="str">
        <x:v>高</x:v>
      </x:c>
      <x:c r="T8" s="217" t="str">
        <x:v>促销规则模拟器与可解释凑单方案</x:v>
      </x:c>
      <x:c r="U8" s="211" t="str">
        <x:v>B-搜索结果卡片</x:v>
      </x:c>
      <x:c r="V8" s="211" t="str">
        <x:v>是</x:v>
      </x:c>
      <x:c r="W8" s="211" t="str">
        <x:v>2026-07-18</x:v>
      </x:c>
    </x:row>
    <x:row r="9">
      <x:c r="A9" s="211" t="str">
        <x:v>xhs-69bd3b1a000000002800b200</x:v>
      </x:c>
      <x:c r="B9" s="211" t="str">
        <x:v>小红书</x:v>
      </x:c>
      <x:c r="C9" s="211" t="str">
        <x:v>中国</x:v>
      </x:c>
      <x:c r="D9" s="211" t="str">
        <x:v>中文</x:v>
      </x:c>
      <x:c r="E9" s="211" t="str">
        <x:v>冬至会下雪</x:v>
      </x:c>
      <x:c r="F9" s="211" t="str">
        <x:v>03-29</x:v>
      </x:c>
      <x:c r="G9" s="217" t="str">
        <x:v>大厂小白勇闯名创总部的第一周实习plog🤲🏻</x:v>
      </x:c>
      <x:c r="H9" s="211" t="str">
        <x:v>https://www.rednote.com/explore/69bd3b1a000000002800b200</x:v>
      </x:c>
      <x:c r="I9" s="211" t="str">
        <x:v>单条内容页</x:v>
      </x:c>
      <x:c r="J9" s="211" t="str">
        <x:v>搜索卡片可见点赞</x:v>
      </x:c>
      <x:c r="K9" s="211" t="str">
        <x:v>319</x:v>
      </x:c>
      <x:c r="L9" s="217" t="str">
        <x:v>大厂小白勇闯名创总部的第一周实习plog🤲🏻</x:v>
      </x:c>
      <x:c r="M9" s="217" t="str">
        <x:v>未读取评论；仅按公开标题/摘要编码</x:v>
      </x:c>
      <x:c r="N9" s="211" t="str">
        <x:v>中性</x:v>
      </x:c>
      <x:c r="O9" s="211" t="str">
        <x:v>发现/比较</x:v>
      </x:c>
      <x:c r="P9" s="211" t="str">
        <x:v>非消费反馈</x:v>
      </x:c>
      <x:c r="Q9" s="211" t="str">
        <x:v>检索噪声/雇主品牌</x:v>
      </x:c>
      <x:c r="R9" s="223" t="str">
        <x:v>2</x:v>
      </x:c>
      <x:c r="S9" s="211" t="str">
        <x:v>低</x:v>
      </x:c>
      <x:c r="T9" s="217" t="str">
        <x:v>高频任务型单品池与复购验证</x:v>
      </x:c>
      <x:c r="U9" s="211" t="str">
        <x:v>B-搜索结果卡片</x:v>
      </x:c>
      <x:c r="V9" s="211" t="str">
        <x:v>否</x:v>
      </x:c>
      <x:c r="W9" s="211" t="str">
        <x:v>2026-07-18</x:v>
      </x:c>
    </x:row>
    <x:row r="10">
      <x:c r="A10" s="211" t="str">
        <x:v>xhs-688369540000000010011c90</x:v>
      </x:c>
      <x:c r="B10" s="211" t="str">
        <x:v>小红书</x:v>
      </x:c>
      <x:c r="C10" s="211" t="str">
        <x:v>中国</x:v>
      </x:c>
      <x:c r="D10" s="211" t="str">
        <x:v>中文</x:v>
      </x:c>
      <x:c r="E10" s="211" t="str">
        <x:v>抹茶栗子</x:v>
      </x:c>
      <x:c r="F10" s="211" t="str">
        <x:v>2025-07-25</x:v>
      </x:c>
      <x:c r="G10" s="217" t="str">
        <x:v>名创优品无限回购的好物清单：</x:v>
      </x:c>
      <x:c r="H10" s="211" t="str">
        <x:v>https://www.rednote.com/explore/688369540000000010011c90</x:v>
      </x:c>
      <x:c r="I10" s="211" t="str">
        <x:v>单条内容页</x:v>
      </x:c>
      <x:c r="J10" s="211" t="str">
        <x:v>点赞/收藏/评论</x:v>
      </x:c>
      <x:c r="K10" s="211" t="str">
        <x:v>点赞1514;收藏580;评论14</x:v>
      </x:c>
      <x:c r="L10" s="217" t="str">
        <x:v>跨品类无限回购清单，评论围绕单价、睫毛夹、杯子、护手霜和IP设计。</x:v>
      </x:c>
      <x:c r="M10" s="217" t="str">
        <x:v>强询价；功能好用带来回购；IP联名好看但仍需实用</x:v>
      </x:c>
      <x:c r="N10" s="211" t="str">
        <x:v>正向</x:v>
      </x:c>
      <x:c r="O10" s="211" t="str">
        <x:v>发现/比较</x:v>
      </x:c>
      <x:c r="P10" s="211" t="str">
        <x:v>生活日用</x:v>
      </x:c>
      <x:c r="Q10" s="211" t="str">
        <x:v>高频使用与复购价值</x:v>
      </x:c>
      <x:c r="R10" s="223" t="str">
        <x:v>2</x:v>
      </x:c>
      <x:c r="S10" s="211" t="str">
        <x:v>高</x:v>
      </x:c>
      <x:c r="T10" s="217" t="str">
        <x:v>高频任务型单品池与复购验证</x:v>
      </x:c>
      <x:c r="U10" s="211" t="str">
        <x:v>A-详情页含公开评论</x:v>
      </x:c>
      <x:c r="V10" s="211" t="str">
        <x:v>是</x:v>
      </x:c>
      <x:c r="W10" s="211" t="str">
        <x:v>2026-07-18</x:v>
      </x:c>
    </x:row>
    <x:row r="11">
      <x:c r="A11" s="211" t="str">
        <x:v>xhs-6a368d1f00000000060319bb</x:v>
      </x:c>
      <x:c r="B11" s="211" t="str">
        <x:v>小红书</x:v>
      </x:c>
      <x:c r="C11" s="211" t="str">
        <x:v>中国</x:v>
      </x:c>
      <x:c r="D11" s="211" t="str">
        <x:v>中文</x:v>
      </x:c>
      <x:c r="E11" s="211" t="str">
        <x:v>小猫碎碎冰</x:v>
      </x:c>
      <x:c r="F11" s="211" t="str">
        <x:v>06-20</x:v>
      </x:c>
      <x:c r="G11" s="217" t="str">
        <x:v>🧺miniso值得买的9件好物2.0(无广附价格)</x:v>
      </x:c>
      <x:c r="H11" s="211" t="str">
        <x:v>https://www.rednote.com/explore/6a368d1f00000000060319bb</x:v>
      </x:c>
      <x:c r="I11" s="211" t="str">
        <x:v>单条内容页</x:v>
      </x:c>
      <x:c r="J11" s="211" t="str">
        <x:v>搜索卡片可见点赞</x:v>
      </x:c>
      <x:c r="K11" s="211" t="str">
        <x:v>247</x:v>
      </x:c>
      <x:c r="L11" s="217" t="str">
        <x:v>🧺miniso值得买的9件好物2.0(无广附价格)</x:v>
      </x:c>
      <x:c r="M11" s="217" t="str">
        <x:v>未读取评论；仅按公开标题/摘要编码</x:v>
      </x:c>
      <x:c r="N11" s="211" t="str">
        <x:v>正向</x:v>
      </x:c>
      <x:c r="O11" s="211" t="str">
        <x:v>发现/比较</x:v>
      </x:c>
      <x:c r="P11" s="211" t="str">
        <x:v>生活日用</x:v>
      </x:c>
      <x:c r="Q11" s="211" t="str">
        <x:v>高频使用与复购价值</x:v>
      </x:c>
      <x:c r="R11" s="223" t="str">
        <x:v>2</x:v>
      </x:c>
      <x:c r="S11" s="211" t="str">
        <x:v>高</x:v>
      </x:c>
      <x:c r="T11" s="217" t="str">
        <x:v>高频任务型单品池与复购验证</x:v>
      </x:c>
      <x:c r="U11" s="211" t="str">
        <x:v>B-搜索结果卡片</x:v>
      </x:c>
      <x:c r="V11" s="211" t="str">
        <x:v>是</x:v>
      </x:c>
      <x:c r="W11" s="211" t="str">
        <x:v>2026-07-18</x:v>
      </x:c>
    </x:row>
    <x:row r="12">
      <x:c r="A12" s="211" t="str">
        <x:v>xhs-68f4aaed0000000004020caf</x:v>
      </x:c>
      <x:c r="B12" s="211" t="str">
        <x:v>小红书</x:v>
      </x:c>
      <x:c r="C12" s="211" t="str">
        <x:v>中国</x:v>
      </x:c>
      <x:c r="D12" s="211" t="str">
        <x:v>中文</x:v>
      </x:c>
      <x:c r="E12" s="211" t="str">
        <x:v>番茄沾土豆</x:v>
      </x:c>
      <x:c r="F12" s="211" t="str">
        <x:v>2025-10-19</x:v>
      </x:c>
      <x:c r="G12" s="217" t="str">
        <x:v>✍🏻存一些在名创优品反复回购的好物清单</x:v>
      </x:c>
      <x:c r="H12" s="211" t="str">
        <x:v>https://www.rednote.com/explore/68f4aaed0000000004020caf</x:v>
      </x:c>
      <x:c r="I12" s="211" t="str">
        <x:v>单条内容页</x:v>
      </x:c>
      <x:c r="J12" s="211" t="str">
        <x:v>搜索卡片可见点赞</x:v>
      </x:c>
      <x:c r="K12" s="211" t="str">
        <x:v>203</x:v>
      </x:c>
      <x:c r="L12" s="217" t="str">
        <x:v>✍🏻存一些在名创优品反复回购的好物清单</x:v>
      </x:c>
      <x:c r="M12" s="217" t="str">
        <x:v>未读取评论；仅按公开标题/摘要编码</x:v>
      </x:c>
      <x:c r="N12" s="211" t="str">
        <x:v>正向</x:v>
      </x:c>
      <x:c r="O12" s="211" t="str">
        <x:v>发现/比较</x:v>
      </x:c>
      <x:c r="P12" s="211" t="str">
        <x:v>生活日用</x:v>
      </x:c>
      <x:c r="Q12" s="211" t="str">
        <x:v>高频使用与复购价值</x:v>
      </x:c>
      <x:c r="R12" s="223" t="str">
        <x:v>2</x:v>
      </x:c>
      <x:c r="S12" s="211" t="str">
        <x:v>高</x:v>
      </x:c>
      <x:c r="T12" s="217" t="str">
        <x:v>高频任务型单品池与复购验证</x:v>
      </x:c>
      <x:c r="U12" s="211" t="str">
        <x:v>B-搜索结果卡片</x:v>
      </x:c>
      <x:c r="V12" s="211" t="str">
        <x:v>是</x:v>
      </x:c>
      <x:c r="W12" s="211" t="str">
        <x:v>2026-07-18</x:v>
      </x:c>
    </x:row>
    <x:row r="13">
      <x:c r="A13" s="211" t="str">
        <x:v>xhs-6a5719b6000000000f0319e1</x:v>
      </x:c>
      <x:c r="B13" s="211" t="str">
        <x:v>小红书</x:v>
      </x:c>
      <x:c r="C13" s="211" t="str">
        <x:v>中国</x:v>
      </x:c>
      <x:c r="D13" s="211" t="str">
        <x:v>中文</x:v>
      </x:c>
      <x:c r="E13" s="211" t="str">
        <x:v>yamapdida</x:v>
      </x:c>
      <x:c r="F13" s="211" t="str">
        <x:v>1天前</x:v>
      </x:c>
      <x:c r="G13" s="217" t="str">
        <x:v>东北首家MINISO FRIENDS落地中央大街！</x:v>
      </x:c>
      <x:c r="H13" s="211" t="str">
        <x:v>https://www.rednote.com/explore/6a5719b6000000000f0319e1</x:v>
      </x:c>
      <x:c r="I13" s="211" t="str">
        <x:v>单条内容页</x:v>
      </x:c>
      <x:c r="J13" s="211" t="str">
        <x:v>点赞/收藏/评论</x:v>
      </x:c>
      <x:c r="K13" s="211" t="str">
        <x:v>点赞346;收藏75;评论80</x:v>
      </x:c>
      <x:c r="L13" s="217" t="str">
        <x:v>东北首家FRIENDS试营业测评指出门店偏小、货品不够丰富、限量盲盒标识不清，体验弱于LAND。</x:v>
      </x:c>
      <x:c r="M13" s="217" t="str">
        <x:v>店型分级困惑；限定品/库存询问；FRIENDS与LAND货盘差异；正式开业预期</x:v>
      </x:c>
      <x:c r="N13" s="211" t="str">
        <x:v>混合/待判断</x:v>
      </x:c>
      <x:c r="O13" s="211" t="str">
        <x:v>到店体验</x:v>
      </x:c>
      <x:c r="P13" s="211" t="str">
        <x:v>门店体验</x:v>
      </x:c>
      <x:c r="Q13" s="211" t="str">
        <x:v>门店分级与逛店体验</x:v>
      </x:c>
      <x:c r="R13" s="223" t="str">
        <x:v>4</x:v>
      </x:c>
      <x:c r="S13" s="211" t="str">
        <x:v>高</x:v>
      </x:c>
      <x:c r="T13" s="217" t="str">
        <x:v>店型承诺、货盘与陈列一致性检查</x:v>
      </x:c>
      <x:c r="U13" s="211" t="str">
        <x:v>A-详情页含公开评论</x:v>
      </x:c>
      <x:c r="V13" s="211" t="str">
        <x:v>是</x:v>
      </x:c>
      <x:c r="W13" s="211" t="str">
        <x:v>2026-07-18</x:v>
      </x:c>
    </x:row>
    <x:row r="14">
      <x:c r="A14" s="211" t="str">
        <x:v>xhs-692547cb000000001e039226</x:v>
      </x:c>
      <x:c r="B14" s="211" t="str">
        <x:v>小红书</x:v>
      </x:c>
      <x:c r="C14" s="211" t="str">
        <x:v>中国</x:v>
      </x:c>
      <x:c r="D14" s="211" t="str">
        <x:v>中文</x:v>
      </x:c>
      <x:c r="E14" s="211" t="str">
        <x:v>微醺啤酒鸭</x:v>
      </x:c>
      <x:c r="F14" s="211" t="str">
        <x:v>2025-12-05</x:v>
      </x:c>
      <x:c r="G14" s="217" t="str">
        <x:v>均价20💰！穷鬼名创彩妆！真好用还是大踩雷？</x:v>
      </x:c>
      <x:c r="H14" s="211" t="str">
        <x:v>https://www.rednote.com/explore/692547cb000000001e039226</x:v>
      </x:c>
      <x:c r="I14" s="211" t="str">
        <x:v>单条内容页</x:v>
      </x:c>
      <x:c r="J14" s="211" t="str">
        <x:v>点赞/收藏/评论</x:v>
      </x:c>
      <x:c r="K14" s="211" t="str">
        <x:v>点赞3333;收藏1699;评论81</x:v>
      </x:c>
      <x:c r="L14" s="217" t="str">
        <x:v>均价约20元的名创彩妆集中测评，关注是否真正好用而非仅便宜。</x:v>
      </x:c>
      <x:c r="M14" s="217" t="str">
        <x:v>评论未稳定加载；以正文和互动量作为证据</x:v>
      </x:c>
      <x:c r="N14" s="211" t="str">
        <x:v>混合/待判断</x:v>
      </x:c>
      <x:c r="O14" s="211" t="str">
        <x:v>发现/比较</x:v>
      </x:c>
      <x:c r="P14" s="211" t="str">
        <x:v>彩妆个护</x:v>
      </x:c>
      <x:c r="Q14" s="211" t="str">
        <x:v>效果、色号与新手友好</x:v>
      </x:c>
      <x:c r="R14" s="223" t="str">
        <x:v>3</x:v>
      </x:c>
      <x:c r="S14" s="211" t="str">
        <x:v>高</x:v>
      </x:c>
      <x:c r="T14" s="217" t="str">
        <x:v>色号、肤质与新手任务场景共创</x:v>
      </x:c>
      <x:c r="U14" s="211" t="str">
        <x:v>A-详情页含公开评论</x:v>
      </x:c>
      <x:c r="V14" s="211" t="str">
        <x:v>是</x:v>
      </x:c>
      <x:c r="W14" s="211" t="str">
        <x:v>2026-07-18</x:v>
      </x:c>
    </x:row>
    <x:row r="15">
      <x:c r="A15" s="211" t="str">
        <x:v>xhs-6a58d1bf000000000f03eee0</x:v>
      </x:c>
      <x:c r="B15" s="211" t="str">
        <x:v>小红书</x:v>
      </x:c>
      <x:c r="C15" s="211" t="str">
        <x:v>中国</x:v>
      </x:c>
      <x:c r="D15" s="211" t="str">
        <x:v>中文</x:v>
      </x:c>
      <x:c r="E15" s="211" t="str">
        <x:v>香菜耶啵bo</x:v>
      </x:c>
      <x:c r="F15" s="211" t="str">
        <x:v>1天前</x:v>
      </x:c>
      <x:c r="G15" s="217" t="str">
        <x:v>名创优品99➖40我都买了哪些东西</x:v>
      </x:c>
      <x:c r="H15" s="211" t="str">
        <x:v>https://www.rednote.com/explore/6a58d1bf000000000f03eee0</x:v>
      </x:c>
      <x:c r="I15" s="211" t="str">
        <x:v>单条内容页</x:v>
      </x:c>
      <x:c r="J15" s="211" t="str">
        <x:v>搜索卡片可见点赞</x:v>
      </x:c>
      <x:c r="K15" s="211" t="str">
        <x:v>26</x:v>
      </x:c>
      <x:c r="L15" s="217" t="str">
        <x:v>名创优品99➖40我都买了哪些东西</x:v>
      </x:c>
      <x:c r="M15" s="217" t="str">
        <x:v>未读取评论；仅按公开标题/摘要编码</x:v>
      </x:c>
      <x:c r="N15" s="211" t="str">
        <x:v>中性</x:v>
      </x:c>
      <x:c r="O15" s="211" t="str">
        <x:v>发现/比较</x:v>
      </x:c>
      <x:c r="P15" s="211" t="str">
        <x:v>综合/其他</x:v>
      </x:c>
      <x:c r="Q15" s="211" t="str">
        <x:v>产品发现与购买决策</x:v>
      </x:c>
      <x:c r="R15" s="223" t="str">
        <x:v>2</x:v>
      </x:c>
      <x:c r="S15" s="211" t="str">
        <x:v>中</x:v>
      </x:c>
      <x:c r="T15" s="217" t="str">
        <x:v>高频任务型单品池与复购验证</x:v>
      </x:c>
      <x:c r="U15" s="211" t="str">
        <x:v>B-搜索结果卡片</x:v>
      </x:c>
      <x:c r="V15" s="211" t="str">
        <x:v>是</x:v>
      </x:c>
      <x:c r="W15" s="211" t="str">
        <x:v>2026-07-18</x:v>
      </x:c>
    </x:row>
    <x:row r="16">
      <x:c r="A16" s="211" t="str">
        <x:v>xhs-69959b00000000001b01e498</x:v>
      </x:c>
      <x:c r="B16" s="211" t="str">
        <x:v>小红书</x:v>
      </x:c>
      <x:c r="C16" s="211" t="str">
        <x:v>中国</x:v>
      </x:c>
      <x:c r="D16" s="211" t="str">
        <x:v>中文</x:v>
      </x:c>
      <x:c r="E16" s="211" t="str">
        <x:v>北京MINISOFRIENDS</x:v>
      </x:c>
      <x:c r="F16" s="211" t="str">
        <x:v>03-21</x:v>
      </x:c>
      <x:c r="G16" s="217" t="str">
        <x:v>轻松小熊和角落生物和大家见面啦！</x:v>
      </x:c>
      <x:c r="H16" s="211" t="str">
        <x:v>https://www.rednote.com/explore/69959b00000000001b01e498</x:v>
      </x:c>
      <x:c r="I16" s="211" t="str">
        <x:v>单条内容页</x:v>
      </x:c>
      <x:c r="J16" s="211" t="str">
        <x:v>点赞/收藏/评论</x:v>
      </x:c>
      <x:c r="K16" s="211" t="str">
        <x:v>点赞3770;收藏436;评论260</x:v>
      </x:c>
      <x:c r="L16" s="217" t="str">
        <x:v>轻松小熊与角落生物在北京MINISO FRIENDS集中陈列，互动量高。</x:v>
      </x:c>
      <x:c r="M16" s="217" t="str">
        <x:v>评论未稳定加载；地点和角色组合是主要传播信息</x:v>
      </x:c>
      <x:c r="N16" s="211" t="str">
        <x:v>正向</x:v>
      </x:c>
      <x:c r="O16" s="211" t="str">
        <x:v>发现/比较</x:v>
      </x:c>
      <x:c r="P16" s="211" t="str">
        <x:v>IP潮玩</x:v>
      </x:c>
      <x:c r="Q16" s="211" t="str">
        <x:v>角色偏好与IP情绪价值</x:v>
      </x:c>
      <x:c r="R16" s="223" t="str">
        <x:v>2</x:v>
      </x:c>
      <x:c r="S16" s="211" t="str">
        <x:v>高</x:v>
      </x:c>
      <x:c r="T16" s="217" t="str">
        <x:v>按角色而非系列预测需求</x:v>
      </x:c>
      <x:c r="U16" s="211" t="str">
        <x:v>A-详情页含公开评论</x:v>
      </x:c>
      <x:c r="V16" s="211" t="str">
        <x:v>是</x:v>
      </x:c>
      <x:c r="W16" s="211" t="str">
        <x:v>2026-07-18</x:v>
      </x:c>
    </x:row>
    <x:row r="17">
      <x:c r="A17" s="211" t="str">
        <x:v>xhs-691b121d00000000070328c1</x:v>
      </x:c>
      <x:c r="B17" s="211" t="str">
        <x:v>小红书</x:v>
      </x:c>
      <x:c r="C17" s="211" t="str">
        <x:v>中国</x:v>
      </x:c>
      <x:c r="D17" s="211" t="str">
        <x:v>中文</x:v>
      </x:c>
      <x:c r="E17" s="211" t="str">
        <x:v>是小苏吖</x:v>
      </x:c>
      <x:c r="F17" s="211" t="str">
        <x:v>2025-12-11</x:v>
      </x:c>
      <x:c r="G17" s="217" t="str">
        <x:v>200💰在名创搞定全套彩妆！真消费才敢说真话</x:v>
      </x:c>
      <x:c r="H17" s="211" t="str">
        <x:v>https://www.rednote.com/explore/691b121d00000000070328c1</x:v>
      </x:c>
      <x:c r="I17" s="211" t="str">
        <x:v>单条内容页</x:v>
      </x:c>
      <x:c r="J17" s="211" t="str">
        <x:v>点赞/收藏/评论</x:v>
      </x:c>
      <x:c r="K17" s="211" t="str">
        <x:v>点赞551;收藏340;评论34</x:v>
      </x:c>
      <x:c r="L17" s="217" t="str">
        <x:v>约200元完成全套彩妆，强调真实消费和学生党可负担。</x:v>
      </x:c>
      <x:c r="M17" s="217" t="str">
        <x:v>色号选择、修容下手轻重、腮红液新手门槛、完整教程需求</x:v>
      </x:c>
      <x:c r="N17" s="211" t="str">
        <x:v>正向</x:v>
      </x:c>
      <x:c r="O17" s="211" t="str">
        <x:v>发现/比较</x:v>
      </x:c>
      <x:c r="P17" s="211" t="str">
        <x:v>彩妆个护</x:v>
      </x:c>
      <x:c r="Q17" s="211" t="str">
        <x:v>效果、色号与新手友好</x:v>
      </x:c>
      <x:c r="R17" s="223" t="str">
        <x:v>2</x:v>
      </x:c>
      <x:c r="S17" s="211" t="str">
        <x:v>高</x:v>
      </x:c>
      <x:c r="T17" s="217" t="str">
        <x:v>色号、肤质与新手任务场景共创</x:v>
      </x:c>
      <x:c r="U17" s="211" t="str">
        <x:v>A-详情页含公开评论</x:v>
      </x:c>
      <x:c r="V17" s="211" t="str">
        <x:v>是</x:v>
      </x:c>
      <x:c r="W17" s="211" t="str">
        <x:v>2026-07-18</x:v>
      </x:c>
    </x:row>
    <x:row r="18">
      <x:c r="A18" s="211" t="str">
        <x:v>xhs-692c36bf000000001e0304ea</x:v>
      </x:c>
      <x:c r="B18" s="211" t="str">
        <x:v>小红书</x:v>
      </x:c>
      <x:c r="C18" s="211" t="str">
        <x:v>中国</x:v>
      </x:c>
      <x:c r="D18" s="211" t="str">
        <x:v>中文</x:v>
      </x:c>
      <x:c r="E18" s="211" t="str">
        <x:v>柚可斑斑</x:v>
      </x:c>
      <x:c r="F18" s="211" t="str">
        <x:v>2025-11-30</x:v>
      </x:c>
      <x:c r="G18" s="217" t="str">
        <x:v>赶个末班车！名创优品99-40买什么！</x:v>
      </x:c>
      <x:c r="H18" s="211" t="str">
        <x:v>https://www.rednote.com/explore/692c36bf000000001e0304ea</x:v>
      </x:c>
      <x:c r="I18" s="211" t="str">
        <x:v>单条内容页</x:v>
      </x:c>
      <x:c r="J18" s="211" t="str">
        <x:v>搜索卡片可见点赞</x:v>
      </x:c>
      <x:c r="K18" s="211" t="str">
        <x:v>729</x:v>
      </x:c>
      <x:c r="L18" s="217" t="str">
        <x:v>赶个末班车！名创优品99-40买什么！</x:v>
      </x:c>
      <x:c r="M18" s="217" t="str">
        <x:v>未读取评论；仅按公开标题/摘要编码</x:v>
      </x:c>
      <x:c r="N18" s="211" t="str">
        <x:v>中性</x:v>
      </x:c>
      <x:c r="O18" s="211" t="str">
        <x:v>购买中</x:v>
      </x:c>
      <x:c r="P18" s="211" t="str">
        <x:v>促销与价格</x:v>
      </x:c>
      <x:c r="Q18" s="211" t="str">
        <x:v>促销门槛与价格敏感</x:v>
      </x:c>
      <x:c r="R18" s="223" t="str">
        <x:v>2</x:v>
      </x:c>
      <x:c r="S18" s="211" t="str">
        <x:v>高</x:v>
      </x:c>
      <x:c r="T18" s="217" t="str">
        <x:v>促销规则模拟器与可解释凑单方案</x:v>
      </x:c>
      <x:c r="U18" s="211" t="str">
        <x:v>B-搜索结果卡片</x:v>
      </x:c>
      <x:c r="V18" s="211" t="str">
        <x:v>是</x:v>
      </x:c>
      <x:c r="W18" s="211" t="str">
        <x:v>2026-07-18</x:v>
      </x:c>
    </x:row>
    <x:row r="19">
      <x:c r="A19" s="211" t="str">
        <x:v>xhs-69c3bde4000000001f000d99</x:v>
      </x:c>
      <x:c r="B19" s="211" t="str">
        <x:v>小红书</x:v>
      </x:c>
      <x:c r="C19" s="211" t="str">
        <x:v>中国</x:v>
      </x:c>
      <x:c r="D19" s="211" t="str">
        <x:v>中文</x:v>
      </x:c>
      <x:c r="E19" s="211" t="str">
        <x:v>穷人又在歹毒地消费bot</x:v>
      </x:c>
      <x:c r="F19" s="211" t="str">
        <x:v>03-25</x:v>
      </x:c>
      <x:c r="G19" s="217" t="str">
        <x:v>求名创优品必吃榜！！！</x:v>
      </x:c>
      <x:c r="H19" s="211" t="str">
        <x:v>https://www.rednote.com/explore/69c3bde4000000001f000d99</x:v>
      </x:c>
      <x:c r="I19" s="211" t="str">
        <x:v>单条内容页</x:v>
      </x:c>
      <x:c r="J19" s="211" t="str">
        <x:v>点赞/收藏/评论</x:v>
      </x:c>
      <x:c r="K19" s="211" t="str">
        <x:v>点赞4351;收藏2665;评论611</x:v>
      </x:c>
      <x:c r="L19" s="217" t="str">
        <x:v>开放式必买榜征集产生高密度真实使用反馈，跨耳机、浴巾、梳子、香氛、彩妆和毛绒。</x:v>
      </x:c>
      <x:c r="M19" s="217" t="str">
        <x:v>耳机耐用、浴巾快干、梳子长期复购、眼线笔高复购、淡香推荐、毛绒角色吸引</x:v>
      </x:c>
      <x:c r="N19" s="211" t="str">
        <x:v>正向</x:v>
      </x:c>
      <x:c r="O19" s="211" t="str">
        <x:v>发现/比较</x:v>
      </x:c>
      <x:c r="P19" s="211" t="str">
        <x:v>综合/其他</x:v>
      </x:c>
      <x:c r="Q19" s="211" t="str">
        <x:v>高频使用与复购价值</x:v>
      </x:c>
      <x:c r="R19" s="223" t="str">
        <x:v>2</x:v>
      </x:c>
      <x:c r="S19" s="211" t="str">
        <x:v>高</x:v>
      </x:c>
      <x:c r="T19" s="217" t="str">
        <x:v>高频任务型单品池与复购验证</x:v>
      </x:c>
      <x:c r="U19" s="211" t="str">
        <x:v>A-详情页含公开评论</x:v>
      </x:c>
      <x:c r="V19" s="211" t="str">
        <x:v>是</x:v>
      </x:c>
      <x:c r="W19" s="211" t="str">
        <x:v>2026-07-18</x:v>
      </x:c>
    </x:row>
    <x:row r="20">
      <x:c r="A20" s="211" t="str">
        <x:v>xhs-69fdcd8400000000350206ab</x:v>
      </x:c>
      <x:c r="B20" s="211" t="str">
        <x:v>小红书</x:v>
      </x:c>
      <x:c r="C20" s="211" t="str">
        <x:v>中国</x:v>
      </x:c>
      <x:c r="D20" s="211" t="str">
        <x:v>中文</x:v>
      </x:c>
      <x:c r="E20" s="211" t="str">
        <x:v>圆脸咪的聪明草</x:v>
      </x:c>
      <x:c r="F20" s="211" t="str">
        <x:v>05-08</x:v>
      </x:c>
      <x:c r="G20" s="217" t="str">
        <x:v>🎉周五了！浅逛一下MINISO吧！</x:v>
      </x:c>
      <x:c r="H20" s="211" t="str">
        <x:v>https://www.rednote.com/explore/69fdcd8400000000350206ab</x:v>
      </x:c>
      <x:c r="I20" s="211" t="str">
        <x:v>单条内容页</x:v>
      </x:c>
      <x:c r="J20" s="211" t="str">
        <x:v>搜索卡片可见点赞</x:v>
      </x:c>
      <x:c r="K20" s="211" t="str">
        <x:v>47</x:v>
      </x:c>
      <x:c r="L20" s="217" t="str">
        <x:v>🎉周五了！浅逛一下MINISO吧！</x:v>
      </x:c>
      <x:c r="M20" s="217" t="str">
        <x:v>未读取评论；仅按公开标题/摘要编码</x:v>
      </x:c>
      <x:c r="N20" s="211" t="str">
        <x:v>中性</x:v>
      </x:c>
      <x:c r="O20" s="211" t="str">
        <x:v>发现/比较</x:v>
      </x:c>
      <x:c r="P20" s="211" t="str">
        <x:v>综合/其他</x:v>
      </x:c>
      <x:c r="Q20" s="211" t="str">
        <x:v>产品发现与购买决策</x:v>
      </x:c>
      <x:c r="R20" s="223" t="str">
        <x:v>2</x:v>
      </x:c>
      <x:c r="S20" s="211" t="str">
        <x:v>中</x:v>
      </x:c>
      <x:c r="T20" s="217" t="str">
        <x:v>高频任务型单品池与复购验证</x:v>
      </x:c>
      <x:c r="U20" s="211" t="str">
        <x:v>B-搜索结果卡片</x:v>
      </x:c>
      <x:c r="V20" s="211" t="str">
        <x:v>是</x:v>
      </x:c>
      <x:c r="W20" s="211" t="str">
        <x:v>2026-07-18</x:v>
      </x:c>
    </x:row>
    <x:row r="21">
      <x:c r="A21" s="211" t="str">
        <x:v>xhs-6975ca75000000002200baa8</x:v>
      </x:c>
      <x:c r="B21" s="211" t="str">
        <x:v>小红书</x:v>
      </x:c>
      <x:c r="C21" s="211" t="str">
        <x:v>中国</x:v>
      </x:c>
      <x:c r="D21" s="211" t="str">
        <x:v>中文</x:v>
      </x:c>
      <x:c r="E21" s="211" t="str">
        <x:v>miroserene</x:v>
      </x:c>
      <x:c r="F21" s="211" t="str">
        <x:v>01-25</x:v>
      </x:c>
      <x:c r="G21" s="217" t="str">
        <x:v>名创优品百元左右能买到啥实用养生好物</x:v>
      </x:c>
      <x:c r="H21" s="211" t="str">
        <x:v>https://www.rednote.com/explore/6975ca75000000002200baa8</x:v>
      </x:c>
      <x:c r="I21" s="211" t="str">
        <x:v>单条内容页</x:v>
      </x:c>
      <x:c r="J21" s="211" t="str">
        <x:v>搜索卡片可见点赞</x:v>
      </x:c>
      <x:c r="K21" s="211" t="str">
        <x:v>202</x:v>
      </x:c>
      <x:c r="L21" s="217" t="str">
        <x:v>名创优品百元左右能买到啥实用养生好物</x:v>
      </x:c>
      <x:c r="M21" s="217" t="str">
        <x:v>未读取评论；仅按公开标题/摘要编码</x:v>
      </x:c>
      <x:c r="N21" s="211" t="str">
        <x:v>正向</x:v>
      </x:c>
      <x:c r="O21" s="211" t="str">
        <x:v>发现/比较</x:v>
      </x:c>
      <x:c r="P21" s="211" t="str">
        <x:v>生活日用</x:v>
      </x:c>
      <x:c r="Q21" s="211" t="str">
        <x:v>高频使用与复购价值</x:v>
      </x:c>
      <x:c r="R21" s="223" t="str">
        <x:v>2</x:v>
      </x:c>
      <x:c r="S21" s="211" t="str">
        <x:v>高</x:v>
      </x:c>
      <x:c r="T21" s="217" t="str">
        <x:v>高频任务型单品池与复购验证</x:v>
      </x:c>
      <x:c r="U21" s="211" t="str">
        <x:v>B-搜索结果卡片</x:v>
      </x:c>
      <x:c r="V21" s="211" t="str">
        <x:v>是</x:v>
      </x:c>
      <x:c r="W21" s="211" t="str">
        <x:v>2026-07-18</x:v>
      </x:c>
    </x:row>
    <x:row r="22">
      <x:c r="A22" s="211" t="str">
        <x:v>xhs-6a55f220000000000702a5be</x:v>
      </x:c>
      <x:c r="B22" s="211" t="str">
        <x:v>小红书</x:v>
      </x:c>
      <x:c r="C22" s="211" t="str">
        <x:v>中国</x:v>
      </x:c>
      <x:c r="D22" s="211" t="str">
        <x:v>中文</x:v>
      </x:c>
      <x:c r="E22" s="211" t="str">
        <x:v>企百科</x:v>
      </x:c>
      <x:c r="F22" s="211" t="str">
        <x:v>3天前</x:v>
      </x:c>
      <x:c r="G22" s="217" t="str">
        <x:v>名创优品就“视频出现窥视女住户情节”致歉</x:v>
      </x:c>
      <x:c r="H22" s="211" t="str">
        <x:v>https://www.rednote.com/explore/6a55f220000000000702a5be</x:v>
      </x:c>
      <x:c r="I22" s="211" t="str">
        <x:v>单条内容页</x:v>
      </x:c>
      <x:c r="J22" s="211" t="str">
        <x:v>搜索卡片可见点赞</x:v>
      </x:c>
      <x:c r="K22" s="211" t="str">
        <x:v>122</x:v>
      </x:c>
      <x:c r="L22" s="217" t="str">
        <x:v>名创优品就“视频出现窥视女住户情节”致歉</x:v>
      </x:c>
      <x:c r="M22" s="217" t="str">
        <x:v>未读取评论；仅按公开标题/摘要编码</x:v>
      </x:c>
      <x:c r="N22" s="211" t="str">
        <x:v>中性</x:v>
      </x:c>
      <x:c r="O22" s="211" t="str">
        <x:v>发现/比较</x:v>
      </x:c>
      <x:c r="P22" s="211" t="str">
        <x:v>综合/其他</x:v>
      </x:c>
      <x:c r="Q22" s="211" t="str">
        <x:v>产品发现与购买决策</x:v>
      </x:c>
      <x:c r="R22" s="223" t="str">
        <x:v>2</x:v>
      </x:c>
      <x:c r="S22" s="211" t="str">
        <x:v>中</x:v>
      </x:c>
      <x:c r="T22" s="217" t="str">
        <x:v>高频任务型单品池与复购验证</x:v>
      </x:c>
      <x:c r="U22" s="211" t="str">
        <x:v>B-搜索结果卡片</x:v>
      </x:c>
      <x:c r="V22" s="211" t="str">
        <x:v>是</x:v>
      </x:c>
      <x:c r="W22" s="211" t="str">
        <x:v>2026-07-18</x:v>
      </x:c>
    </x:row>
    <x:row r="23">
      <x:c r="A23" s="211" t="str">
        <x:v>xhs-6a16d89a0000000006035762</x:v>
      </x:c>
      <x:c r="B23" s="211" t="str">
        <x:v>小红书</x:v>
      </x:c>
      <x:c r="C23" s="211" t="str">
        <x:v>中国</x:v>
      </x:c>
      <x:c r="D23" s="211" t="str">
        <x:v>中文</x:v>
      </x:c>
      <x:c r="E23" s="211" t="str">
        <x:v>小奶栗（联动版）</x:v>
      </x:c>
      <x:c r="F23" s="211" t="str">
        <x:v>05-27</x:v>
      </x:c>
      <x:c r="G23" s="217" t="str">
        <x:v>森贝儿联名上新啦！这波联名真的好萌！</x:v>
      </x:c>
      <x:c r="H23" s="211" t="str">
        <x:v>https://www.rednote.com/explore/6a16d89a0000000006035762</x:v>
      </x:c>
      <x:c r="I23" s="211" t="str">
        <x:v>单条内容页</x:v>
      </x:c>
      <x:c r="J23" s="211" t="str">
        <x:v>搜索卡片可见点赞</x:v>
      </x:c>
      <x:c r="K23" s="211" t="str">
        <x:v>1390</x:v>
      </x:c>
      <x:c r="L23" s="217" t="str">
        <x:v>森贝儿联名上新啦！这波联名真的好萌！</x:v>
      </x:c>
      <x:c r="M23" s="217" t="str">
        <x:v>未读取评论；仅按公开标题/摘要编码</x:v>
      </x:c>
      <x:c r="N23" s="211" t="str">
        <x:v>正向</x:v>
      </x:c>
      <x:c r="O23" s="211" t="str">
        <x:v>发现/比较</x:v>
      </x:c>
      <x:c r="P23" s="211" t="str">
        <x:v>IP潮玩</x:v>
      </x:c>
      <x:c r="Q23" s="211" t="str">
        <x:v>角色偏好与IP情绪价值</x:v>
      </x:c>
      <x:c r="R23" s="223" t="str">
        <x:v>2</x:v>
      </x:c>
      <x:c r="S23" s="211" t="str">
        <x:v>高</x:v>
      </x:c>
      <x:c r="T23" s="217" t="str">
        <x:v>按角色而非系列预测需求</x:v>
      </x:c>
      <x:c r="U23" s="211" t="str">
        <x:v>B-搜索结果卡片</x:v>
      </x:c>
      <x:c r="V23" s="211" t="str">
        <x:v>是</x:v>
      </x:c>
      <x:c r="W23" s="211" t="str">
        <x:v>2026-07-18</x:v>
      </x:c>
    </x:row>
    <x:row r="24">
      <x:c r="A24" s="211" t="str">
        <x:v>xhs-68f1ff0600000000070097f5</x:v>
      </x:c>
      <x:c r="B24" s="211" t="str">
        <x:v>小红书</x:v>
      </x:c>
      <x:c r="C24" s="211" t="str">
        <x:v>中国</x:v>
      </x:c>
      <x:c r="D24" s="211" t="str">
        <x:v>中文</x:v>
      </x:c>
      <x:c r="E24" s="211" t="str">
        <x:v>小张莓烦恼</x:v>
      </x:c>
      <x:c r="F24" s="211" t="str">
        <x:v>2025-11-07</x:v>
      </x:c>
      <x:c r="G24" s="217" t="str">
        <x:v>✍️写一期在miniso买到的满意好物～平价实用</x:v>
      </x:c>
      <x:c r="H24" s="211" t="str">
        <x:v>https://www.rednote.com/explore/68f1ff0600000000070097f5</x:v>
      </x:c>
      <x:c r="I24" s="211" t="str">
        <x:v>单条内容页</x:v>
      </x:c>
      <x:c r="J24" s="211" t="str">
        <x:v>搜索卡片可见点赞</x:v>
      </x:c>
      <x:c r="K24" s="211" t="str">
        <x:v>650</x:v>
      </x:c>
      <x:c r="L24" s="217" t="str">
        <x:v>✍️写一期在miniso买到的满意好物～平价实用</x:v>
      </x:c>
      <x:c r="M24" s="217" t="str">
        <x:v>未读取评论；仅按公开标题/摘要编码</x:v>
      </x:c>
      <x:c r="N24" s="211" t="str">
        <x:v>正向</x:v>
      </x:c>
      <x:c r="O24" s="211" t="str">
        <x:v>发现/比较</x:v>
      </x:c>
      <x:c r="P24" s="211" t="str">
        <x:v>生活日用</x:v>
      </x:c>
      <x:c r="Q24" s="211" t="str">
        <x:v>高频使用与复购价值</x:v>
      </x:c>
      <x:c r="R24" s="223" t="str">
        <x:v>2</x:v>
      </x:c>
      <x:c r="S24" s="211" t="str">
        <x:v>高</x:v>
      </x:c>
      <x:c r="T24" s="217" t="str">
        <x:v>高频任务型单品池与复购验证</x:v>
      </x:c>
      <x:c r="U24" s="211" t="str">
        <x:v>B-搜索结果卡片</x:v>
      </x:c>
      <x:c r="V24" s="211" t="str">
        <x:v>是</x:v>
      </x:c>
      <x:c r="W24" s="211" t="str">
        <x:v>2026-07-18</x:v>
      </x:c>
    </x:row>
    <x:row r="25">
      <x:c r="A25" s="211" t="str">
        <x:v>xhs-6a0fc757000000003700c989</x:v>
      </x:c>
      <x:c r="B25" s="211" t="str">
        <x:v>小红书</x:v>
      </x:c>
      <x:c r="C25" s="211" t="str">
        <x:v>中国</x:v>
      </x:c>
      <x:c r="D25" s="211" t="str">
        <x:v>中文</x:v>
      </x:c>
      <x:c r="E25" s="211" t="str">
        <x:v>呱呱爱吃瓜</x:v>
      </x:c>
      <x:c r="F25" s="211" t="str">
        <x:v>05-27</x:v>
      </x:c>
      <x:c r="G25" s="217" t="str">
        <x:v>5.22chiikawa名创现况！！！！乌萨奇我来啦！！！！</x:v>
      </x:c>
      <x:c r="H25" s="211" t="str">
        <x:v>https://www.rednote.com/explore/6a0fc757000000003700c989</x:v>
      </x:c>
      <x:c r="I25" s="211" t="str">
        <x:v>单条内容页</x:v>
      </x:c>
      <x:c r="J25" s="211" t="str">
        <x:v>点赞/收藏/评论</x:v>
      </x:c>
      <x:c r="K25" s="211" t="str">
        <x:v>点赞1298;收藏167;评论57</x:v>
      </x:c>
      <x:c r="L25" s="217" t="str">
        <x:v>Chiikawa联名到店实况，角色偏好、价格、门店地址和预约规则是主要问题。</x:v>
      </x:c>
      <x:c r="M25" s="217" t="str">
        <x:v>乌萨奇/小八角色偏好；69.9/99元询价；正佳广场地址；预约和到货信息</x:v>
      </x:c>
      <x:c r="N25" s="211" t="str">
        <x:v>正向</x:v>
      </x:c>
      <x:c r="O25" s="211" t="str">
        <x:v>购买前/到店</x:v>
      </x:c>
      <x:c r="P25" s="211" t="str">
        <x:v>IP潮玩</x:v>
      </x:c>
      <x:c r="Q25" s="211" t="str">
        <x:v>可获得性与库存透明</x:v>
      </x:c>
      <x:c r="R25" s="223" t="str">
        <x:v>3</x:v>
      </x:c>
      <x:c r="S25" s="211" t="str">
        <x:v>高</x:v>
      </x:c>
      <x:c r="T25" s="217" t="str">
        <x:v>区域-门店-角色级库存热力与补货预警</x:v>
      </x:c>
      <x:c r="U25" s="211" t="str">
        <x:v>A-详情页含公开评论</x:v>
      </x:c>
      <x:c r="V25" s="211" t="str">
        <x:v>是</x:v>
      </x:c>
      <x:c r="W25" s="211" t="str">
        <x:v>2026-07-18</x:v>
      </x:c>
    </x:row>
    <x:row r="26">
      <x:c r="A26" s="211" t="str">
        <x:v>xhs-696cb95e000000002103213b</x:v>
      </x:c>
      <x:c r="B26" s="211" t="str">
        <x:v>小红书</x:v>
      </x:c>
      <x:c r="C26" s="211" t="str">
        <x:v>中国</x:v>
      </x:c>
      <x:c r="D26" s="211" t="str">
        <x:v>中文</x:v>
      </x:c>
      <x:c r="E26" s="211" t="str">
        <x:v>丧心病狂省钱bot</x:v>
      </x:c>
      <x:c r="F26" s="211" t="str">
        <x:v>01-18</x:v>
      </x:c>
      <x:c r="G26" s="217" t="str">
        <x:v>【207】穷鬼求名创优品必买榜</x:v>
      </x:c>
      <x:c r="H26" s="211" t="str">
        <x:v>https://www.rednote.com/explore/696cb95e000000002103213b</x:v>
      </x:c>
      <x:c r="I26" s="211" t="str">
        <x:v>单条内容页</x:v>
      </x:c>
      <x:c r="J26" s="211" t="str">
        <x:v>搜索卡片可见点赞</x:v>
      </x:c>
      <x:c r="K26" s="211" t="str">
        <x:v>1863</x:v>
      </x:c>
      <x:c r="L26" s="217" t="str">
        <x:v>【207】穷鬼求名创优品必买榜</x:v>
      </x:c>
      <x:c r="M26" s="217" t="str">
        <x:v>未读取评论；仅按公开标题/摘要编码</x:v>
      </x:c>
      <x:c r="N26" s="211" t="str">
        <x:v>正向</x:v>
      </x:c>
      <x:c r="O26" s="211" t="str">
        <x:v>发现/比较</x:v>
      </x:c>
      <x:c r="P26" s="211" t="str">
        <x:v>生活日用</x:v>
      </x:c>
      <x:c r="Q26" s="211" t="str">
        <x:v>高频使用与复购价值</x:v>
      </x:c>
      <x:c r="R26" s="223" t="str">
        <x:v>2</x:v>
      </x:c>
      <x:c r="S26" s="211" t="str">
        <x:v>高</x:v>
      </x:c>
      <x:c r="T26" s="217" t="str">
        <x:v>高频任务型单品池与复购验证</x:v>
      </x:c>
      <x:c r="U26" s="211" t="str">
        <x:v>B-搜索结果卡片</x:v>
      </x:c>
      <x:c r="V26" s="211" t="str">
        <x:v>是</x:v>
      </x:c>
      <x:c r="W26" s="211" t="str">
        <x:v>2026-07-18</x:v>
      </x:c>
    </x:row>
    <x:row r="27">
      <x:c r="A27" s="211" t="str">
        <x:v>xhs-6a5a19850000000010024a24</x:v>
      </x:c>
      <x:c r="B27" s="211" t="str">
        <x:v>小红书</x:v>
      </x:c>
      <x:c r="C27" s="211" t="str">
        <x:v>中国</x:v>
      </x:c>
      <x:c r="D27" s="211" t="str">
        <x:v>中文</x:v>
      </x:c>
      <x:c r="E27" s="211" t="str">
        <x:v>阿拉噜咪🍯</x:v>
      </x:c>
      <x:c r="F27" s="211" t="str">
        <x:v>昨天 20:04</x:v>
      </x:c>
      <x:c r="G27" s="217" t="str">
        <x:v>玩具总动员搪胶盲盒上线📦</x:v>
      </x:c>
      <x:c r="H27" s="211" t="str">
        <x:v>https://www.rednote.com/explore/6a5a19850000000010024a24</x:v>
      </x:c>
      <x:c r="I27" s="211" t="str">
        <x:v>单条内容页</x:v>
      </x:c>
      <x:c r="J27" s="211" t="str">
        <x:v>搜索卡片可见点赞</x:v>
      </x:c>
      <x:c r="K27" s="211" t="str">
        <x:v>7</x:v>
      </x:c>
      <x:c r="L27" s="217" t="str">
        <x:v>玩具总动员搪胶盲盒上线📦</x:v>
      </x:c>
      <x:c r="M27" s="217" t="str">
        <x:v>未读取评论；仅按公开标题/摘要编码</x:v>
      </x:c>
      <x:c r="N27" s="211" t="str">
        <x:v>中性</x:v>
      </x:c>
      <x:c r="O27" s="211" t="str">
        <x:v>发现/比较</x:v>
      </x:c>
      <x:c r="P27" s="211" t="str">
        <x:v>IP潮玩</x:v>
      </x:c>
      <x:c r="Q27" s="211" t="str">
        <x:v>角色偏好与IP情绪价值</x:v>
      </x:c>
      <x:c r="R27" s="223" t="str">
        <x:v>2</x:v>
      </x:c>
      <x:c r="S27" s="211" t="str">
        <x:v>高</x:v>
      </x:c>
      <x:c r="T27" s="217" t="str">
        <x:v>按角色而非系列预测需求</x:v>
      </x:c>
      <x:c r="U27" s="211" t="str">
        <x:v>B-搜索结果卡片</x:v>
      </x:c>
      <x:c r="V27" s="211" t="str">
        <x:v>是</x:v>
      </x:c>
      <x:c r="W27" s="211" t="str">
        <x:v>2026-07-18</x:v>
      </x:c>
    </x:row>
    <x:row r="28">
      <x:c r="A28" s="211" t="str">
        <x:v>xhs-6a59ad63000000000f00ba14</x:v>
      </x:c>
      <x:c r="B28" s="211" t="str">
        <x:v>小红书</x:v>
      </x:c>
      <x:c r="C28" s="211" t="str">
        <x:v>中国</x:v>
      </x:c>
      <x:c r="D28" s="211" t="str">
        <x:v>中文</x:v>
      </x:c>
      <x:c r="E28" s="211" t="str">
        <x:v>神奇土豆丝</x:v>
      </x:c>
      <x:c r="F28" s="211" t="str">
        <x:v>昨天 12:19</x:v>
      </x:c>
      <x:c r="G28" s="217" t="str">
        <x:v>今天的快乐是名创优品99-40给的</x:v>
      </x:c>
      <x:c r="H28" s="211" t="str">
        <x:v>https://www.rednote.com/explore/6a59ad63000000000f00ba14</x:v>
      </x:c>
      <x:c r="I28" s="211" t="str">
        <x:v>单条内容页</x:v>
      </x:c>
      <x:c r="J28" s="211" t="str">
        <x:v>搜索卡片可见点赞</x:v>
      </x:c>
      <x:c r="K28" s="211" t="str">
        <x:v>3</x:v>
      </x:c>
      <x:c r="L28" s="217" t="str">
        <x:v>今天的快乐是名创优品99-40给的</x:v>
      </x:c>
      <x:c r="M28" s="217" t="str">
        <x:v>未读取评论；仅按公开标题/摘要编码</x:v>
      </x:c>
      <x:c r="N28" s="211" t="str">
        <x:v>正向</x:v>
      </x:c>
      <x:c r="O28" s="211" t="str">
        <x:v>购买中</x:v>
      </x:c>
      <x:c r="P28" s="211" t="str">
        <x:v>促销与价格</x:v>
      </x:c>
      <x:c r="Q28" s="211" t="str">
        <x:v>促销门槛与价格敏感</x:v>
      </x:c>
      <x:c r="R28" s="223" t="str">
        <x:v>2</x:v>
      </x:c>
      <x:c r="S28" s="211" t="str">
        <x:v>高</x:v>
      </x:c>
      <x:c r="T28" s="217" t="str">
        <x:v>促销规则模拟器与可解释凑单方案</x:v>
      </x:c>
      <x:c r="U28" s="211" t="str">
        <x:v>B-搜索结果卡片</x:v>
      </x:c>
      <x:c r="V28" s="211" t="str">
        <x:v>是</x:v>
      </x:c>
      <x:c r="W28" s="211" t="str">
        <x:v>2026-07-18</x:v>
      </x:c>
    </x:row>
    <x:row r="29">
      <x:c r="A29" s="211" t="str">
        <x:v>xhs-6a5735400000000006021cc2</x:v>
      </x:c>
      <x:c r="B29" s="211" t="str">
        <x:v>小红书</x:v>
      </x:c>
      <x:c r="C29" s="211" t="str">
        <x:v>中国</x:v>
      </x:c>
      <x:c r="D29" s="211" t="str">
        <x:v>中文</x:v>
      </x:c>
      <x:c r="E29" s="211" t="str">
        <x:v>碎银杂货铺</x:v>
      </x:c>
      <x:c r="F29" s="211" t="str">
        <x:v>2天前</x:v>
      </x:c>
      <x:c r="G29" s="217" t="str">
        <x:v>离谱！名创优品再次翻车道歉🙅‍♀️</x:v>
      </x:c>
      <x:c r="H29" s="211" t="str">
        <x:v>https://www.rednote.com/explore/6a5735400000000006021cc2</x:v>
      </x:c>
      <x:c r="I29" s="211" t="str">
        <x:v>单条内容页</x:v>
      </x:c>
      <x:c r="J29" s="211" t="str">
        <x:v>搜索卡片可见点赞</x:v>
      </x:c>
      <x:c r="K29" s="211" t="str">
        <x:v>7</x:v>
      </x:c>
      <x:c r="L29" s="217" t="str">
        <x:v>离谱！名创优品再次翻车道歉🙅‍♀️</x:v>
      </x:c>
      <x:c r="M29" s="217" t="str">
        <x:v>未读取评论；仅按公开标题/摘要编码</x:v>
      </x:c>
      <x:c r="N29" s="211" t="str">
        <x:v>负向</x:v>
      </x:c>
      <x:c r="O29" s="211" t="str">
        <x:v>发现/比较</x:v>
      </x:c>
      <x:c r="P29" s="211" t="str">
        <x:v>品牌与服务</x:v>
      </x:c>
      <x:c r="Q29" s="211" t="str">
        <x:v>品牌价值观与内容审核</x:v>
      </x:c>
      <x:c r="R29" s="223" t="str">
        <x:v>4</x:v>
      </x:c>
      <x:c r="S29" s="211" t="str">
        <x:v>中</x:v>
      </x:c>
      <x:c r="T29" s="217" t="str">
        <x:v>营销内容安全审查Agent</x:v>
      </x:c>
      <x:c r="U29" s="211" t="str">
        <x:v>B-搜索结果卡片</x:v>
      </x:c>
      <x:c r="V29" s="211" t="str">
        <x:v>是</x:v>
      </x:c>
      <x:c r="W29" s="211" t="str">
        <x:v>2026-07-18</x:v>
      </x:c>
    </x:row>
    <x:row r="30">
      <x:c r="A30" s="211" t="str">
        <x:v>xhs-6964d649000000001a022148</x:v>
      </x:c>
      <x:c r="B30" s="211" t="str">
        <x:v>小红书</x:v>
      </x:c>
      <x:c r="C30" s="211" t="str">
        <x:v>中国</x:v>
      </x:c>
      <x:c r="D30" s="211" t="str">
        <x:v>中文</x:v>
      </x:c>
      <x:c r="E30" s="211" t="str">
        <x:v>樱桃布丁山</x:v>
      </x:c>
      <x:c r="F30" s="211" t="str">
        <x:v>01-16</x:v>
      </x:c>
      <x:c r="G30" s="217" t="str">
        <x:v>MUJI？名创？傻傻分不清楚（测评已出）</x:v>
      </x:c>
      <x:c r="H30" s="211" t="str">
        <x:v>https://www.rednote.com/explore/6964d649000000001a022148</x:v>
      </x:c>
      <x:c r="I30" s="211" t="str">
        <x:v>单条内容页</x:v>
      </x:c>
      <x:c r="J30" s="211" t="str">
        <x:v>点赞/收藏/评论</x:v>
      </x:c>
      <x:c r="K30" s="211" t="str">
        <x:v>点赞2872;收藏533;评论340</x:v>
      </x:c>
      <x:c r="L30" s="217" t="str">
        <x:v>与MUJI收纳包对比，名创价格约为一半，但做工、内衬和原创性引发争议。</x:v>
      </x:c>
      <x:c r="M30" s="217" t="str">
        <x:v>反对抄袭；一分钱一分货；名创19.9元价格优势；外观相似但细节有差</x:v>
      </x:c>
      <x:c r="N30" s="211" t="str">
        <x:v>混合/待判断</x:v>
      </x:c>
      <x:c r="O30" s="211" t="str">
        <x:v>使用后/售后</x:v>
      </x:c>
      <x:c r="P30" s="211" t="str">
        <x:v>生活日用</x:v>
      </x:c>
      <x:c r="Q30" s="211" t="str">
        <x:v>原创性/真伪信任</x:v>
      </x:c>
      <x:c r="R30" s="223" t="str">
        <x:v>4</x:v>
      </x:c>
      <x:c r="S30" s="211" t="str">
        <x:v>中</x:v>
      </x:c>
      <x:c r="T30" s="217" t="str">
        <x:v>原创设计相似性审查与差异化门槛</x:v>
      </x:c>
      <x:c r="U30" s="211" t="str">
        <x:v>A-详情页含公开评论</x:v>
      </x:c>
      <x:c r="V30" s="211" t="str">
        <x:v>是</x:v>
      </x:c>
      <x:c r="W30" s="211" t="str">
        <x:v>2026-07-18</x:v>
      </x:c>
    </x:row>
    <x:row r="31">
      <x:c r="A31" s="211" t="str">
        <x:v>xhs-69ecaaba00000000370362f6</x:v>
      </x:c>
      <x:c r="B31" s="211" t="str">
        <x:v>小红书</x:v>
      </x:c>
      <x:c r="C31" s="211" t="str">
        <x:v>中国</x:v>
      </x:c>
      <x:c r="D31" s="211" t="str">
        <x:v>中文</x:v>
      </x:c>
      <x:c r="E31" s="211" t="str">
        <x:v>一米六的呆呆鱼</x:v>
      </x:c>
      <x:c r="F31" s="211" t="str">
        <x:v>05-04</x:v>
      </x:c>
      <x:c r="G31" s="217" t="str">
        <x:v>miniso 你悄悄上新！太好看啦</x:v>
      </x:c>
      <x:c r="H31" s="211" t="str">
        <x:v>https://www.rednote.com/explore/69ecaaba00000000370362f6</x:v>
      </x:c>
      <x:c r="I31" s="211" t="str">
        <x:v>单条内容页</x:v>
      </x:c>
      <x:c r="J31" s="211" t="str">
        <x:v>搜索卡片可见点赞</x:v>
      </x:c>
      <x:c r="K31" s="211" t="str">
        <x:v>195</x:v>
      </x:c>
      <x:c r="L31" s="217" t="str">
        <x:v>miniso 你悄悄上新！太好看啦</x:v>
      </x:c>
      <x:c r="M31" s="217" t="str">
        <x:v>未读取评论；仅按公开标题/摘要编码</x:v>
      </x:c>
      <x:c r="N31" s="211" t="str">
        <x:v>正向</x:v>
      </x:c>
      <x:c r="O31" s="211" t="str">
        <x:v>发现/比较</x:v>
      </x:c>
      <x:c r="P31" s="211" t="str">
        <x:v>综合/其他</x:v>
      </x:c>
      <x:c r="Q31" s="211" t="str">
        <x:v>产品发现与购买决策</x:v>
      </x:c>
      <x:c r="R31" s="223" t="str">
        <x:v>2</x:v>
      </x:c>
      <x:c r="S31" s="211" t="str">
        <x:v>中</x:v>
      </x:c>
      <x:c r="T31" s="217" t="str">
        <x:v>高频任务型单品池与复购验证</x:v>
      </x:c>
      <x:c r="U31" s="211" t="str">
        <x:v>B-搜索结果卡片</x:v>
      </x:c>
      <x:c r="V31" s="211" t="str">
        <x:v>是</x:v>
      </x:c>
      <x:c r="W31" s="211" t="str">
        <x:v>2026-07-18</x:v>
      </x:c>
    </x:row>
    <x:row r="32">
      <x:c r="A32" s="211" t="str">
        <x:v>xhs-68d4a758000000000b01208f</x:v>
      </x:c>
      <x:c r="B32" s="211" t="str">
        <x:v>小红书</x:v>
      </x:c>
      <x:c r="C32" s="211" t="str">
        <x:v>中国</x:v>
      </x:c>
      <x:c r="D32" s="211" t="str">
        <x:v>中文</x:v>
      </x:c>
      <x:c r="E32" s="211" t="str">
        <x:v>冲浪兔兔王（资讯版）</x:v>
      </x:c>
      <x:c r="F32" s="211" t="str">
        <x:v>2025-09-25</x:v>
      </x:c>
      <x:c r="G32" s="217" t="str">
        <x:v>报！名创优品✖森贝儿联动新盲盒啦‼</x:v>
      </x:c>
      <x:c r="H32" s="211" t="str">
        <x:v>https://www.rednote.com/explore/68d4a758000000000b01208f</x:v>
      </x:c>
      <x:c r="I32" s="211" t="str">
        <x:v>单条内容页</x:v>
      </x:c>
      <x:c r="J32" s="211" t="str">
        <x:v>搜索卡片可见点赞</x:v>
      </x:c>
      <x:c r="K32" s="211" t="str">
        <x:v>2895</x:v>
      </x:c>
      <x:c r="L32" s="217" t="str">
        <x:v>报！名创优品✖森贝儿联动新盲盒啦‼</x:v>
      </x:c>
      <x:c r="M32" s="217" t="str">
        <x:v>未读取评论；仅按公开标题/摘要编码</x:v>
      </x:c>
      <x:c r="N32" s="211" t="str">
        <x:v>中性</x:v>
      </x:c>
      <x:c r="O32" s="211" t="str">
        <x:v>发现/比较</x:v>
      </x:c>
      <x:c r="P32" s="211" t="str">
        <x:v>IP潮玩</x:v>
      </x:c>
      <x:c r="Q32" s="211" t="str">
        <x:v>角色偏好与IP情绪价值</x:v>
      </x:c>
      <x:c r="R32" s="223" t="str">
        <x:v>2</x:v>
      </x:c>
      <x:c r="S32" s="211" t="str">
        <x:v>高</x:v>
      </x:c>
      <x:c r="T32" s="217" t="str">
        <x:v>按角色而非系列预测需求</x:v>
      </x:c>
      <x:c r="U32" s="211" t="str">
        <x:v>B-搜索结果卡片</x:v>
      </x:c>
      <x:c r="V32" s="211" t="str">
        <x:v>是</x:v>
      </x:c>
      <x:c r="W32" s="211" t="str">
        <x:v>2026-07-18</x:v>
      </x:c>
    </x:row>
    <x:row r="33">
      <x:c r="A33" s="211" t="str">
        <x:v>xhs-69be4b09000000001a02742a</x:v>
      </x:c>
      <x:c r="B33" s="211" t="str">
        <x:v>小红书</x:v>
      </x:c>
      <x:c r="C33" s="211" t="str">
        <x:v>中国</x:v>
      </x:c>
      <x:c r="D33" s="211" t="str">
        <x:v>中文</x:v>
      </x:c>
      <x:c r="E33" s="211" t="str">
        <x:v>jgy</x:v>
      </x:c>
      <x:c r="F33" s="211" t="str">
        <x:v>03-21</x:v>
      </x:c>
      <x:c r="G33" s="217" t="str">
        <x:v>Miniso零食脑袋集合！这三款我替你们尝过啦～</x:v>
      </x:c>
      <x:c r="H33" s="211" t="str">
        <x:v>https://www.rednote.com/explore/69be4b09000000001a02742a</x:v>
      </x:c>
      <x:c r="I33" s="211" t="str">
        <x:v>单条内容页</x:v>
      </x:c>
      <x:c r="J33" s="211" t="str">
        <x:v>搜索卡片可见点赞</x:v>
      </x:c>
      <x:c r="K33" s="211" t="str">
        <x:v>238</x:v>
      </x:c>
      <x:c r="L33" s="217" t="str">
        <x:v>Miniso零食脑袋集合！这三款我替你们尝过啦～</x:v>
      </x:c>
      <x:c r="M33" s="217" t="str">
        <x:v>未读取评论；仅按公开标题/摘要编码</x:v>
      </x:c>
      <x:c r="N33" s="211" t="str">
        <x:v>中性</x:v>
      </x:c>
      <x:c r="O33" s="211" t="str">
        <x:v>发现/比较</x:v>
      </x:c>
      <x:c r="P33" s="211" t="str">
        <x:v>食品</x:v>
      </x:c>
      <x:c r="Q33" s="211" t="str">
        <x:v>口味发现与榜单需求</x:v>
      </x:c>
      <x:c r="R33" s="223" t="str">
        <x:v>2</x:v>
      </x:c>
      <x:c r="S33" s="211" t="str">
        <x:v>中</x:v>
      </x:c>
      <x:c r="T33" s="217" t="str">
        <x:v>口味投票与小批量区域试销</x:v>
      </x:c>
      <x:c r="U33" s="211" t="str">
        <x:v>B-搜索结果卡片</x:v>
      </x:c>
      <x:c r="V33" s="211" t="str">
        <x:v>是</x:v>
      </x:c>
      <x:c r="W33" s="211" t="str">
        <x:v>2026-07-18</x:v>
      </x:c>
    </x:row>
    <x:row r="34">
      <x:c r="A34" s="211" t="str">
        <x:v>xhs-6a584922000000001303f68d</x:v>
      </x:c>
      <x:c r="B34" s="211" t="str">
        <x:v>小红书</x:v>
      </x:c>
      <x:c r="C34" s="211" t="str">
        <x:v>中国</x:v>
      </x:c>
      <x:c r="D34" s="211" t="str">
        <x:v>中文</x:v>
      </x:c>
      <x:c r="E34" s="211" t="str">
        <x:v>爱分享的momo</x:v>
      </x:c>
      <x:c r="F34" s="211" t="str">
        <x:v>1天前</x:v>
      </x:c>
      <x:c r="G34" s="217" t="str">
        <x:v>名创99-65 二刷</x:v>
      </x:c>
      <x:c r="H34" s="211" t="str">
        <x:v>https://www.rednote.com/explore/6a584922000000001303f68d</x:v>
      </x:c>
      <x:c r="I34" s="211" t="str">
        <x:v>单条内容页</x:v>
      </x:c>
      <x:c r="J34" s="211" t="str">
        <x:v>搜索卡片可见点赞</x:v>
      </x:c>
      <x:c r="K34" s="211" t="str">
        <x:v>10</x:v>
      </x:c>
      <x:c r="L34" s="217" t="str">
        <x:v>名创99-65 二刷</x:v>
      </x:c>
      <x:c r="M34" s="217" t="str">
        <x:v>未读取评论；仅按公开标题/摘要编码</x:v>
      </x:c>
      <x:c r="N34" s="211" t="str">
        <x:v>中性</x:v>
      </x:c>
      <x:c r="O34" s="211" t="str">
        <x:v>购买中</x:v>
      </x:c>
      <x:c r="P34" s="211" t="str">
        <x:v>促销与价格</x:v>
      </x:c>
      <x:c r="Q34" s="211" t="str">
        <x:v>促销门槛与价格敏感</x:v>
      </x:c>
      <x:c r="R34" s="223" t="str">
        <x:v>2</x:v>
      </x:c>
      <x:c r="S34" s="211" t="str">
        <x:v>高</x:v>
      </x:c>
      <x:c r="T34" s="217" t="str">
        <x:v>促销规则模拟器与可解释凑单方案</x:v>
      </x:c>
      <x:c r="U34" s="211" t="str">
        <x:v>B-搜索结果卡片</x:v>
      </x:c>
      <x:c r="V34" s="211" t="str">
        <x:v>是</x:v>
      </x:c>
      <x:c r="W34" s="211" t="str">
        <x:v>2026-07-18</x:v>
      </x:c>
    </x:row>
    <x:row r="35">
      <x:c r="A35" s="211" t="str">
        <x:v>xhs-6a5835180000000010027872</x:v>
      </x:c>
      <x:c r="B35" s="211" t="str">
        <x:v>小红书</x:v>
      </x:c>
      <x:c r="C35" s="211" t="str">
        <x:v>中国</x:v>
      </x:c>
      <x:c r="D35" s="211" t="str">
        <x:v>中文</x:v>
      </x:c>
      <x:c r="E35" s="211" t="str">
        <x:v>喵呜喵呜</x:v>
      </x:c>
      <x:c r="F35" s="211" t="str">
        <x:v>1天前</x:v>
      </x:c>
      <x:c r="G35" s="217" t="str">
        <x:v>名创优品99-65详细凑单流程（全年通用）</x:v>
      </x:c>
      <x:c r="H35" s="211" t="str">
        <x:v>https://www.rednote.com/explore/6a5835180000000010027872</x:v>
      </x:c>
      <x:c r="I35" s="211" t="str">
        <x:v>单条内容页</x:v>
      </x:c>
      <x:c r="J35" s="211" t="str">
        <x:v>搜索卡片可见点赞</x:v>
      </x:c>
      <x:c r="K35" s="211" t="str">
        <x:v>10</x:v>
      </x:c>
      <x:c r="L35" s="217" t="str">
        <x:v>名创优品99-65详细凑单流程（全年通用）</x:v>
      </x:c>
      <x:c r="M35" s="217" t="str">
        <x:v>未读取评论；仅按公开标题/摘要编码</x:v>
      </x:c>
      <x:c r="N35" s="211" t="str">
        <x:v>中性</x:v>
      </x:c>
      <x:c r="O35" s="211" t="str">
        <x:v>购买中</x:v>
      </x:c>
      <x:c r="P35" s="211" t="str">
        <x:v>促销与价格</x:v>
      </x:c>
      <x:c r="Q35" s="211" t="str">
        <x:v>促销门槛与价格敏感</x:v>
      </x:c>
      <x:c r="R35" s="223" t="str">
        <x:v>2</x:v>
      </x:c>
      <x:c r="S35" s="211" t="str">
        <x:v>高</x:v>
      </x:c>
      <x:c r="T35" s="217" t="str">
        <x:v>促销规则模拟器与可解释凑单方案</x:v>
      </x:c>
      <x:c r="U35" s="211" t="str">
        <x:v>B-搜索结果卡片</x:v>
      </x:c>
      <x:c r="V35" s="211" t="str">
        <x:v>是</x:v>
      </x:c>
      <x:c r="W35" s="211" t="str">
        <x:v>2026-07-18</x:v>
      </x:c>
    </x:row>
    <x:row r="36">
      <x:c r="A36" s="211" t="str">
        <x:v>xhs-69be2db90000000023020a40</x:v>
      </x:c>
      <x:c r="B36" s="211" t="str">
        <x:v>小红书</x:v>
      </x:c>
      <x:c r="C36" s="211" t="str">
        <x:v>中国</x:v>
      </x:c>
      <x:c r="D36" s="211" t="str">
        <x:v>中文</x:v>
      </x:c>
      <x:c r="E36" s="211" t="str">
        <x:v>RubyFox_</x:v>
      </x:c>
      <x:c r="F36" s="211" t="str">
        <x:v>03-21</x:v>
      </x:c>
      <x:c r="G36" s="217" t="str">
        <x:v>名创Jennie必买推荐！</x:v>
      </x:c>
      <x:c r="H36" s="211" t="str">
        <x:v>https://www.rednote.com/explore/69be2db90000000023020a40</x:v>
      </x:c>
      <x:c r="I36" s="211" t="str">
        <x:v>单条内容页</x:v>
      </x:c>
      <x:c r="J36" s="211" t="str">
        <x:v>搜索卡片可见点赞</x:v>
      </x:c>
      <x:c r="K36" s="211" t="str">
        <x:v>2634</x:v>
      </x:c>
      <x:c r="L36" s="217" t="str">
        <x:v>名创Jennie必买推荐！</x:v>
      </x:c>
      <x:c r="M36" s="217" t="str">
        <x:v>未读取评论；仅按公开标题/摘要编码</x:v>
      </x:c>
      <x:c r="N36" s="211" t="str">
        <x:v>正向</x:v>
      </x:c>
      <x:c r="O36" s="211" t="str">
        <x:v>发现/比较</x:v>
      </x:c>
      <x:c r="P36" s="211" t="str">
        <x:v>IP潮玩</x:v>
      </x:c>
      <x:c r="Q36" s="211" t="str">
        <x:v>高频使用与复购价值</x:v>
      </x:c>
      <x:c r="R36" s="223" t="str">
        <x:v>2</x:v>
      </x:c>
      <x:c r="S36" s="211" t="str">
        <x:v>高</x:v>
      </x:c>
      <x:c r="T36" s="217" t="str">
        <x:v>按角色而非系列预测需求</x:v>
      </x:c>
      <x:c r="U36" s="211" t="str">
        <x:v>B-搜索结果卡片</x:v>
      </x:c>
      <x:c r="V36" s="211" t="str">
        <x:v>是</x:v>
      </x:c>
      <x:c r="W36" s="211" t="str">
        <x:v>2026-07-18</x:v>
      </x:c>
    </x:row>
    <x:row r="37">
      <x:c r="A37" s="211" t="str">
        <x:v>xhs-6a382d4f000000001102fb2c</x:v>
      </x:c>
      <x:c r="B37" s="211" t="str">
        <x:v>小红书</x:v>
      </x:c>
      <x:c r="C37" s="211" t="str">
        <x:v>中国</x:v>
      </x:c>
      <x:c r="D37" s="211" t="str">
        <x:v>中文</x:v>
      </x:c>
      <x:c r="E37" s="211" t="str">
        <x:v>挖到宝了</x:v>
      </x:c>
      <x:c r="F37" s="211" t="str">
        <x:v>4天前</x:v>
      </x:c>
      <x:c r="G37" s="217" t="str">
        <x:v>名创优品小方糖水性指甲油 江坂丽奈色？</x:v>
      </x:c>
      <x:c r="H37" s="211" t="str">
        <x:v>https://www.rednote.com/explore/6a382d4f000000001102fb2c</x:v>
      </x:c>
      <x:c r="I37" s="211" t="str">
        <x:v>单条内容页</x:v>
      </x:c>
      <x:c r="J37" s="211" t="str">
        <x:v>搜索卡片可见点赞</x:v>
      </x:c>
      <x:c r="K37" s="211" t="str">
        <x:v>188</x:v>
      </x:c>
      <x:c r="L37" s="217" t="str">
        <x:v>名创优品小方糖水性指甲油 江坂丽奈色？</x:v>
      </x:c>
      <x:c r="M37" s="217" t="str">
        <x:v>未读取评论；仅按公开标题/摘要编码</x:v>
      </x:c>
      <x:c r="N37" s="211" t="str">
        <x:v>中性</x:v>
      </x:c>
      <x:c r="O37" s="211" t="str">
        <x:v>发现/比较</x:v>
      </x:c>
      <x:c r="P37" s="211" t="str">
        <x:v>彩妆个护</x:v>
      </x:c>
      <x:c r="Q37" s="211" t="str">
        <x:v>效果、色号与新手友好</x:v>
      </x:c>
      <x:c r="R37" s="223" t="str">
        <x:v>2</x:v>
      </x:c>
      <x:c r="S37" s="211" t="str">
        <x:v>高</x:v>
      </x:c>
      <x:c r="T37" s="217" t="str">
        <x:v>色号、肤质与新手任务场景共创</x:v>
      </x:c>
      <x:c r="U37" s="211" t="str">
        <x:v>B-搜索结果卡片</x:v>
      </x:c>
      <x:c r="V37" s="211" t="str">
        <x:v>是</x:v>
      </x:c>
      <x:c r="W37" s="211" t="str">
        <x:v>2026-07-18</x:v>
      </x:c>
    </x:row>
    <x:row r="38">
      <x:c r="A38" s="211" t="str">
        <x:v>xhs-6a55b997000000001700a782</x:v>
      </x:c>
      <x:c r="B38" s="211" t="str">
        <x:v>小红书</x:v>
      </x:c>
      <x:c r="C38" s="211" t="str">
        <x:v>中国</x:v>
      </x:c>
      <x:c r="D38" s="211" t="str">
        <x:v>中文</x:v>
      </x:c>
      <x:c r="E38" s="211" t="str">
        <x:v>知鸥</x:v>
      </x:c>
      <x:c r="F38" s="211" t="str">
        <x:v>昨天 11:20</x:v>
      </x:c>
      <x:c r="G38" s="217" t="str">
        <x:v>7.17名创优品99-40叠加凑单教程来啦</x:v>
      </x:c>
      <x:c r="H38" s="211" t="str">
        <x:v>https://www.rednote.com/explore/6a55b997000000001700a782</x:v>
      </x:c>
      <x:c r="I38" s="211" t="str">
        <x:v>单条内容页</x:v>
      </x:c>
      <x:c r="J38" s="211" t="str">
        <x:v>搜索卡片可见点赞</x:v>
      </x:c>
      <x:c r="K38" s="211" t="str">
        <x:v>5</x:v>
      </x:c>
      <x:c r="L38" s="217" t="str">
        <x:v>7.17名创优品99-40叠加凑单教程来啦</x:v>
      </x:c>
      <x:c r="M38" s="217" t="str">
        <x:v>未读取评论；仅按公开标题/摘要编码</x:v>
      </x:c>
      <x:c r="N38" s="211" t="str">
        <x:v>中性</x:v>
      </x:c>
      <x:c r="O38" s="211" t="str">
        <x:v>购买中</x:v>
      </x:c>
      <x:c r="P38" s="211" t="str">
        <x:v>促销与价格</x:v>
      </x:c>
      <x:c r="Q38" s="211" t="str">
        <x:v>促销门槛与价格敏感</x:v>
      </x:c>
      <x:c r="R38" s="223" t="str">
        <x:v>2</x:v>
      </x:c>
      <x:c r="S38" s="211" t="str">
        <x:v>高</x:v>
      </x:c>
      <x:c r="T38" s="217" t="str">
        <x:v>促销规则模拟器与可解释凑单方案</x:v>
      </x:c>
      <x:c r="U38" s="211" t="str">
        <x:v>B-搜索结果卡片</x:v>
      </x:c>
      <x:c r="V38" s="211" t="str">
        <x:v>是</x:v>
      </x:c>
      <x:c r="W38" s="211" t="str">
        <x:v>2026-07-18</x:v>
      </x:c>
    </x:row>
    <x:row r="39">
      <x:c r="A39" s="211" t="str">
        <x:v>xhs-6a310f170000000011007170</x:v>
      </x:c>
      <x:c r="B39" s="211" t="str">
        <x:v>小红书</x:v>
      </x:c>
      <x:c r="C39" s="211" t="str">
        <x:v>中国</x:v>
      </x:c>
      <x:c r="D39" s="211" t="str">
        <x:v>中文</x:v>
      </x:c>
      <x:c r="E39" s="211" t="str">
        <x:v>fjch</x:v>
      </x:c>
      <x:c r="F39" s="211" t="str">
        <x:v>06-16</x:v>
      </x:c>
      <x:c r="G39" s="217" t="str">
        <x:v>商超兼职对比｜这几家时薪一目了然！打工人</x:v>
      </x:c>
      <x:c r="H39" s="211" t="str">
        <x:v>https://www.rednote.com/explore/6a310f170000000011007170</x:v>
      </x:c>
      <x:c r="I39" s="211" t="str">
        <x:v>单条内容页</x:v>
      </x:c>
      <x:c r="J39" s="211" t="str">
        <x:v>搜索卡片可见点赞</x:v>
      </x:c>
      <x:c r="K39" s="211" t="str">
        <x:v>1080</x:v>
      </x:c>
      <x:c r="L39" s="217" t="str">
        <x:v>商超兼职对比｜这几家时薪一目了然！打工人</x:v>
      </x:c>
      <x:c r="M39" s="217" t="str">
        <x:v>未读取评论；仅按公开标题/摘要编码</x:v>
      </x:c>
      <x:c r="N39" s="211" t="str">
        <x:v>混合/待判断</x:v>
      </x:c>
      <x:c r="O39" s="211" t="str">
        <x:v>发现/比较</x:v>
      </x:c>
      <x:c r="P39" s="211" t="str">
        <x:v>非消费反馈</x:v>
      </x:c>
      <x:c r="Q39" s="211" t="str">
        <x:v>检索噪声/雇主品牌</x:v>
      </x:c>
      <x:c r="R39" s="223" t="str">
        <x:v>3</x:v>
      </x:c>
      <x:c r="S39" s="211" t="str">
        <x:v>低</x:v>
      </x:c>
      <x:c r="T39" s="217" t="str">
        <x:v>高频任务型单品池与复购验证</x:v>
      </x:c>
      <x:c r="U39" s="211" t="str">
        <x:v>B-搜索结果卡片</x:v>
      </x:c>
      <x:c r="V39" s="211" t="str">
        <x:v>否</x:v>
      </x:c>
      <x:c r="W39" s="211" t="str">
        <x:v>2026-07-18</x:v>
      </x:c>
    </x:row>
    <x:row r="40">
      <x:c r="A40" s="211" t="str">
        <x:v>xhs-6a570b730000000021019c69</x:v>
      </x:c>
      <x:c r="B40" s="211" t="str">
        <x:v>小红书</x:v>
      </x:c>
      <x:c r="C40" s="211" t="str">
        <x:v>中国</x:v>
      </x:c>
      <x:c r="D40" s="211" t="str">
        <x:v>中文</x:v>
      </x:c>
      <x:c r="E40" s="211" t="str">
        <x:v>Cure</x:v>
      </x:c>
      <x:c r="F40" s="211" t="str">
        <x:v>1天前</x:v>
      </x:c>
      <x:c r="G40" s="217" t="str">
        <x:v>名创优品7月下旬急招｜综合折算260/天</x:v>
      </x:c>
      <x:c r="H40" s="211" t="str">
        <x:v>https://www.rednote.com/explore/6a570b730000000021019c69</x:v>
      </x:c>
      <x:c r="I40" s="211" t="str">
        <x:v>单条内容页</x:v>
      </x:c>
      <x:c r="J40" s="211" t="str">
        <x:v>搜索卡片可见点赞</x:v>
      </x:c>
      <x:c r="K40" s="211" t="str">
        <x:v>121</x:v>
      </x:c>
      <x:c r="L40" s="217" t="str">
        <x:v>名创优品7月下旬急招｜综合折算260/天</x:v>
      </x:c>
      <x:c r="M40" s="217" t="str">
        <x:v>未读取评论；仅按公开标题/摘要编码</x:v>
      </x:c>
      <x:c r="N40" s="211" t="str">
        <x:v>中性</x:v>
      </x:c>
      <x:c r="O40" s="211" t="str">
        <x:v>发现/比较</x:v>
      </x:c>
      <x:c r="P40" s="211" t="str">
        <x:v>综合/其他</x:v>
      </x:c>
      <x:c r="Q40" s="211" t="str">
        <x:v>产品发现与购买决策</x:v>
      </x:c>
      <x:c r="R40" s="223" t="str">
        <x:v>2</x:v>
      </x:c>
      <x:c r="S40" s="211" t="str">
        <x:v>中</x:v>
      </x:c>
      <x:c r="T40" s="217" t="str">
        <x:v>高频任务型单品池与复购验证</x:v>
      </x:c>
      <x:c r="U40" s="211" t="str">
        <x:v>B-搜索结果卡片</x:v>
      </x:c>
      <x:c r="V40" s="211" t="str">
        <x:v>是</x:v>
      </x:c>
      <x:c r="W40" s="211" t="str">
        <x:v>2026-07-18</x:v>
      </x:c>
    </x:row>
    <x:row r="41">
      <x:c r="A41" s="211" t="str">
        <x:v>xhs-6a58434d000000000f03eef0</x:v>
      </x:c>
      <x:c r="B41" s="211" t="str">
        <x:v>小红书</x:v>
      </x:c>
      <x:c r="C41" s="211" t="str">
        <x:v>中国</x:v>
      </x:c>
      <x:c r="D41" s="211" t="str">
        <x:v>中文</x:v>
      </x:c>
      <x:c r="E41" s="211" t="str">
        <x:v>成为瘦子的一天</x:v>
      </x:c>
      <x:c r="F41" s="211" t="str">
        <x:v>昨天 11:04</x:v>
      </x:c>
      <x:c r="G41" s="217" t="str">
        <x:v>名创优品99-65，新的详细流程（7.17-7.21）</x:v>
      </x:c>
      <x:c r="H41" s="211" t="str">
        <x:v>https://www.rednote.com/explore/6a58434d000000000f03eef0</x:v>
      </x:c>
      <x:c r="I41" s="211" t="str">
        <x:v>单条内容页</x:v>
      </x:c>
      <x:c r="J41" s="211" t="str">
        <x:v>搜索卡片可见点赞</x:v>
      </x:c>
      <x:c r="K41" s="211" t="str">
        <x:v>5</x:v>
      </x:c>
      <x:c r="L41" s="217" t="str">
        <x:v>名创优品99-65，新的详细流程（7.17-7.21）</x:v>
      </x:c>
      <x:c r="M41" s="217" t="str">
        <x:v>未读取评论；仅按公开标题/摘要编码</x:v>
      </x:c>
      <x:c r="N41" s="211" t="str">
        <x:v>中性</x:v>
      </x:c>
      <x:c r="O41" s="211" t="str">
        <x:v>购买中</x:v>
      </x:c>
      <x:c r="P41" s="211" t="str">
        <x:v>促销与价格</x:v>
      </x:c>
      <x:c r="Q41" s="211" t="str">
        <x:v>促销门槛与价格敏感</x:v>
      </x:c>
      <x:c r="R41" s="223" t="str">
        <x:v>2</x:v>
      </x:c>
      <x:c r="S41" s="211" t="str">
        <x:v>高</x:v>
      </x:c>
      <x:c r="T41" s="217" t="str">
        <x:v>促销规则模拟器与可解释凑单方案</x:v>
      </x:c>
      <x:c r="U41" s="211" t="str">
        <x:v>B-搜索结果卡片</x:v>
      </x:c>
      <x:c r="V41" s="211" t="str">
        <x:v>是</x:v>
      </x:c>
      <x:c r="W41" s="211" t="str">
        <x:v>2026-07-18</x:v>
      </x:c>
    </x:row>
    <x:row r="42">
      <x:c r="A42" s="211" t="str">
        <x:v>xhs-6a58788a000000001303d582</x:v>
      </x:c>
      <x:c r="B42" s="211" t="str">
        <x:v>小红书</x:v>
      </x:c>
      <x:c r="C42" s="211" t="str">
        <x:v>中国</x:v>
      </x:c>
      <x:c r="D42" s="211" t="str">
        <x:v>中文</x:v>
      </x:c>
      <x:c r="E42" s="211" t="str">
        <x:v>今日发现bot</x:v>
      </x:c>
      <x:c r="F42" s="211" t="str">
        <x:v>昨天 12:40</x:v>
      </x:c>
      <x:c r="G42" s="217" t="str">
        <x:v>不会还有人错过名创优品99-65吧？</x:v>
      </x:c>
      <x:c r="H42" s="211" t="str">
        <x:v>https://www.rednote.com/explore/6a58788a000000001303d582</x:v>
      </x:c>
      <x:c r="I42" s="211" t="str">
        <x:v>单条内容页</x:v>
      </x:c>
      <x:c r="J42" s="211" t="str">
        <x:v>搜索卡片可见点赞</x:v>
      </x:c>
      <x:c r="K42" s="211" t="str">
        <x:v>1</x:v>
      </x:c>
      <x:c r="L42" s="217" t="str">
        <x:v>不会还有人错过名创优品99-65吧？</x:v>
      </x:c>
      <x:c r="M42" s="217" t="str">
        <x:v>未读取评论；仅按公开标题/摘要编码</x:v>
      </x:c>
      <x:c r="N42" s="211" t="str">
        <x:v>中性</x:v>
      </x:c>
      <x:c r="O42" s="211" t="str">
        <x:v>购买中</x:v>
      </x:c>
      <x:c r="P42" s="211" t="str">
        <x:v>促销与价格</x:v>
      </x:c>
      <x:c r="Q42" s="211" t="str">
        <x:v>促销门槛与价格敏感</x:v>
      </x:c>
      <x:c r="R42" s="223" t="str">
        <x:v>2</x:v>
      </x:c>
      <x:c r="S42" s="211" t="str">
        <x:v>高</x:v>
      </x:c>
      <x:c r="T42" s="217" t="str">
        <x:v>促销规则模拟器与可解释凑单方案</x:v>
      </x:c>
      <x:c r="U42" s="211" t="str">
        <x:v>B-搜索结果卡片</x:v>
      </x:c>
      <x:c r="V42" s="211" t="str">
        <x:v>是</x:v>
      </x:c>
      <x:c r="W42" s="211" t="str">
        <x:v>2026-07-18</x:v>
      </x:c>
    </x:row>
    <x:row r="43">
      <x:c r="A43" s="211" t="str">
        <x:v>xhs-6a5858c1000000001002af09</x:v>
      </x:c>
      <x:c r="B43" s="211" t="str">
        <x:v>小红书</x:v>
      </x:c>
      <x:c r="C43" s="211" t="str">
        <x:v>中国</x:v>
      </x:c>
      <x:c r="D43" s="211" t="str">
        <x:v>中文</x:v>
      </x:c>
      <x:c r="E43" s="211" t="str">
        <x:v>番茄炒蛋</x:v>
      </x:c>
      <x:c r="F43" s="211" t="str">
        <x:v>2分钟前</x:v>
      </x:c>
      <x:c r="G43" s="217" t="str">
        <x:v>名创99-65终于搞懂了！</x:v>
      </x:c>
      <x:c r="H43" s="211" t="str">
        <x:v>https://www.rednote.com/explore/6a5858c1000000001002af09</x:v>
      </x:c>
      <x:c r="I43" s="211" t="str">
        <x:v>单条内容页</x:v>
      </x:c>
      <x:c r="J43" s="211" t="str">
        <x:v>搜索卡片可见点赞</x:v>
      </x:c>
      <x:c r="K43" s="211" t="str">
        <x:v>39</x:v>
      </x:c>
      <x:c r="L43" s="217" t="str">
        <x:v>名创99-65终于搞懂了！</x:v>
      </x:c>
      <x:c r="M43" s="217" t="str">
        <x:v>未读取评论；仅按公开标题/摘要编码</x:v>
      </x:c>
      <x:c r="N43" s="211" t="str">
        <x:v>中性</x:v>
      </x:c>
      <x:c r="O43" s="211" t="str">
        <x:v>购买中</x:v>
      </x:c>
      <x:c r="P43" s="211" t="str">
        <x:v>促销与价格</x:v>
      </x:c>
      <x:c r="Q43" s="211" t="str">
        <x:v>促销门槛与价格敏感</x:v>
      </x:c>
      <x:c r="R43" s="223" t="str">
        <x:v>2</x:v>
      </x:c>
      <x:c r="S43" s="211" t="str">
        <x:v>高</x:v>
      </x:c>
      <x:c r="T43" s="217" t="str">
        <x:v>促销规则模拟器与可解释凑单方案</x:v>
      </x:c>
      <x:c r="U43" s="211" t="str">
        <x:v>B-搜索结果卡片</x:v>
      </x:c>
      <x:c r="V43" s="211" t="str">
        <x:v>是</x:v>
      </x:c>
      <x:c r="W43" s="211" t="str">
        <x:v>2026-07-18</x:v>
      </x:c>
    </x:row>
    <x:row r="44">
      <x:c r="A44" s="211" t="str">
        <x:v>xhs-6a1c244f000000003502498c</x:v>
      </x:c>
      <x:c r="B44" s="211" t="str">
        <x:v>小红书</x:v>
      </x:c>
      <x:c r="C44" s="211" t="str">
        <x:v>中国</x:v>
      </x:c>
      <x:c r="D44" s="211" t="str">
        <x:v>中文</x:v>
      </x:c>
      <x:c r="E44" s="211" t="str">
        <x:v>吃不饱的小张</x:v>
      </x:c>
      <x:c r="F44" s="211" t="str">
        <x:v>06-03</x:v>
      </x:c>
      <x:c r="G44" s="217" t="str">
        <x:v>名创优品，2026年度好用物合集，均价10块！</x:v>
      </x:c>
      <x:c r="H44" s="211" t="str">
        <x:v>https://www.rednote.com/explore/6a1c244f000000003502498c</x:v>
      </x:c>
      <x:c r="I44" s="211" t="str">
        <x:v>单条内容页</x:v>
      </x:c>
      <x:c r="J44" s="211" t="str">
        <x:v>点赞/收藏/评论</x:v>
      </x:c>
      <x:c r="K44" s="211" t="str">
        <x:v>点赞662;收藏318;评论11</x:v>
      </x:c>
      <x:c r="L44" s="217" t="str">
        <x:v>均价10元左右的年度好用物，集中在彩妆、降温、出行和梳子。</x:v>
      </x:c>
      <x:c r="M44" s="217" t="str">
        <x:v>冰凉贴/湿巾、牙线棒、出行便携品；用户补充手机降温场景</x:v>
      </x:c>
      <x:c r="N44" s="211" t="str">
        <x:v>正向</x:v>
      </x:c>
      <x:c r="O44" s="211" t="str">
        <x:v>发现/比较</x:v>
      </x:c>
      <x:c r="P44" s="211" t="str">
        <x:v>生活日用</x:v>
      </x:c>
      <x:c r="Q44" s="211" t="str">
        <x:v>高频使用与复购价值</x:v>
      </x:c>
      <x:c r="R44" s="223" t="str">
        <x:v>2</x:v>
      </x:c>
      <x:c r="S44" s="211" t="str">
        <x:v>高</x:v>
      </x:c>
      <x:c r="T44" s="217" t="str">
        <x:v>高频任务型单品池与复购验证</x:v>
      </x:c>
      <x:c r="U44" s="211" t="str">
        <x:v>A-详情页含公开评论</x:v>
      </x:c>
      <x:c r="V44" s="211" t="str">
        <x:v>是</x:v>
      </x:c>
      <x:c r="W44" s="211" t="str">
        <x:v>2026-07-18</x:v>
      </x:c>
    </x:row>
    <x:row r="45">
      <x:c r="A45" s="211" t="str">
        <x:v>xhs-69f444f4000000003502e7cc</x:v>
      </x:c>
      <x:c r="B45" s="211" t="str">
        <x:v>小红书</x:v>
      </x:c>
      <x:c r="C45" s="211" t="str">
        <x:v>中国</x:v>
      </x:c>
      <x:c r="D45" s="211" t="str">
        <x:v>中文</x:v>
      </x:c>
      <x:c r="E45" s="211" t="str">
        <x:v>里江</x:v>
      </x:c>
      <x:c r="F45" s="211" t="str">
        <x:v>05-01</x:v>
      </x:c>
      <x:c r="G45" s="217" t="str">
        <x:v>名创优品旅行用物必买小清单</x:v>
      </x:c>
      <x:c r="H45" s="211" t="str">
        <x:v>https://www.rednote.com/explore/69f444f4000000003502e7cc</x:v>
      </x:c>
      <x:c r="I45" s="211" t="str">
        <x:v>单条内容页</x:v>
      </x:c>
      <x:c r="J45" s="211" t="str">
        <x:v>搜索卡片可见点赞</x:v>
      </x:c>
      <x:c r="K45" s="211" t="str">
        <x:v>301</x:v>
      </x:c>
      <x:c r="L45" s="217" t="str">
        <x:v>名创优品旅行用物必买小清单</x:v>
      </x:c>
      <x:c r="M45" s="217" t="str">
        <x:v>未读取评论；仅按公开标题/摘要编码</x:v>
      </x:c>
      <x:c r="N45" s="211" t="str">
        <x:v>正向</x:v>
      </x:c>
      <x:c r="O45" s="211" t="str">
        <x:v>发现/比较</x:v>
      </x:c>
      <x:c r="P45" s="211" t="str">
        <x:v>生活日用</x:v>
      </x:c>
      <x:c r="Q45" s="211" t="str">
        <x:v>高频使用与复购价值</x:v>
      </x:c>
      <x:c r="R45" s="223" t="str">
        <x:v>2</x:v>
      </x:c>
      <x:c r="S45" s="211" t="str">
        <x:v>高</x:v>
      </x:c>
      <x:c r="T45" s="217" t="str">
        <x:v>高频任务型单品池与复购验证</x:v>
      </x:c>
      <x:c r="U45" s="211" t="str">
        <x:v>B-搜索结果卡片</x:v>
      </x:c>
      <x:c r="V45" s="211" t="str">
        <x:v>是</x:v>
      </x:c>
      <x:c r="W45" s="211" t="str">
        <x:v>2026-07-18</x:v>
      </x:c>
    </x:row>
    <x:row r="46">
      <x:c r="A46" s="211" t="str">
        <x:v>xhs-6a1cfc4f00000000070282b0</x:v>
      </x:c>
      <x:c r="B46" s="211" t="str">
        <x:v>小红书</x:v>
      </x:c>
      <x:c r="C46" s="211" t="str">
        <x:v>中国</x:v>
      </x:c>
      <x:c r="D46" s="211" t="str">
        <x:v>中文</x:v>
      </x:c>
      <x:c r="E46" s="211" t="str">
        <x:v>YIYi🌷（见过热巴版）</x:v>
      </x:c>
      <x:c r="F46" s="211" t="str">
        <x:v>06-01</x:v>
      </x:c>
      <x:c r="G46" s="217" t="str">
        <x:v>名创优品夯爆了！</x:v>
      </x:c>
      <x:c r="H46" s="211" t="str">
        <x:v>https://www.rednote.com/explore/6a1cfc4f00000000070282b0</x:v>
      </x:c>
      <x:c r="I46" s="211" t="str">
        <x:v>单条内容页</x:v>
      </x:c>
      <x:c r="J46" s="211" t="str">
        <x:v>搜索卡片可见点赞</x:v>
      </x:c>
      <x:c r="K46" s="211" t="str">
        <x:v>284</x:v>
      </x:c>
      <x:c r="L46" s="217" t="str">
        <x:v>名创优品夯爆了！</x:v>
      </x:c>
      <x:c r="M46" s="217" t="str">
        <x:v>未读取评论；仅按公开标题/摘要编码</x:v>
      </x:c>
      <x:c r="N46" s="211" t="str">
        <x:v>正向</x:v>
      </x:c>
      <x:c r="O46" s="211" t="str">
        <x:v>发现/比较</x:v>
      </x:c>
      <x:c r="P46" s="211" t="str">
        <x:v>综合/其他</x:v>
      </x:c>
      <x:c r="Q46" s="211" t="str">
        <x:v>产品发现与购买决策</x:v>
      </x:c>
      <x:c r="R46" s="223" t="str">
        <x:v>2</x:v>
      </x:c>
      <x:c r="S46" s="211" t="str">
        <x:v>中</x:v>
      </x:c>
      <x:c r="T46" s="217" t="str">
        <x:v>高频任务型单品池与复购验证</x:v>
      </x:c>
      <x:c r="U46" s="211" t="str">
        <x:v>B-搜索结果卡片</x:v>
      </x:c>
      <x:c r="V46" s="211" t="str">
        <x:v>是</x:v>
      </x:c>
      <x:c r="W46" s="211" t="str">
        <x:v>2026-07-18</x:v>
      </x:c>
    </x:row>
    <x:row r="47">
      <x:c r="A47" s="211" t="str">
        <x:v>xhs-6a57806a0000000011016f89</x:v>
      </x:c>
      <x:c r="B47" s="211" t="str">
        <x:v>小红书</x:v>
      </x:c>
      <x:c r="C47" s="211" t="str">
        <x:v>中国</x:v>
      </x:c>
      <x:c r="D47" s="211" t="str">
        <x:v>中文</x:v>
      </x:c>
      <x:c r="E47" s="211" t="str">
        <x:v>浮生</x:v>
      </x:c>
      <x:c r="F47" s="211" t="str">
        <x:v>2天前</x:v>
      </x:c>
      <x:c r="G47" s="217" t="str">
        <x:v>名创优品 实习生/暑期实习</x:v>
      </x:c>
      <x:c r="H47" s="211" t="str">
        <x:v>https://www.rednote.com/explore/6a57806a0000000011016f89</x:v>
      </x:c>
      <x:c r="I47" s="211" t="str">
        <x:v>单条内容页</x:v>
      </x:c>
      <x:c r="J47" s="211" t="str">
        <x:v>搜索卡片可见点赞</x:v>
      </x:c>
      <x:c r="K47" s="211" t="str">
        <x:v>25</x:v>
      </x:c>
      <x:c r="L47" s="217" t="str">
        <x:v>名创优品 实习生/暑期实习</x:v>
      </x:c>
      <x:c r="M47" s="217" t="str">
        <x:v>未读取评论；仅按公开标题/摘要编码</x:v>
      </x:c>
      <x:c r="N47" s="211" t="str">
        <x:v>中性</x:v>
      </x:c>
      <x:c r="O47" s="211" t="str">
        <x:v>发现/比较</x:v>
      </x:c>
      <x:c r="P47" s="211" t="str">
        <x:v>非消费反馈</x:v>
      </x:c>
      <x:c r="Q47" s="211" t="str">
        <x:v>检索噪声/雇主品牌</x:v>
      </x:c>
      <x:c r="R47" s="223" t="str">
        <x:v>2</x:v>
      </x:c>
      <x:c r="S47" s="211" t="str">
        <x:v>低</x:v>
      </x:c>
      <x:c r="T47" s="217" t="str">
        <x:v>高频任务型单品池与复购验证</x:v>
      </x:c>
      <x:c r="U47" s="211" t="str">
        <x:v>B-搜索结果卡片</x:v>
      </x:c>
      <x:c r="V47" s="211" t="str">
        <x:v>否</x:v>
      </x:c>
      <x:c r="W47" s="211" t="str">
        <x:v>2026-07-18</x:v>
      </x:c>
    </x:row>
    <x:row r="48">
      <x:c r="A48" s="211" t="str">
        <x:v>xhs-6a5367a90000000021009dae</x:v>
      </x:c>
      <x:c r="B48" s="211" t="str">
        <x:v>小红书</x:v>
      </x:c>
      <x:c r="C48" s="211" t="str">
        <x:v>中国</x:v>
      </x:c>
      <x:c r="D48" s="211" t="str">
        <x:v>中文</x:v>
      </x:c>
      <x:c r="E48" s="211" t="str">
        <x:v>生耶小熊（资讯版）</x:v>
      </x:c>
      <x:c r="F48" s="211" t="str">
        <x:v>5天前</x:v>
      </x:c>
      <x:c r="G48" s="217" t="str">
        <x:v>报‼️名创×拓麻歌子快闪活动攻略一览‼️</x:v>
      </x:c>
      <x:c r="H48" s="211" t="str">
        <x:v>https://www.rednote.com/explore/6a5367a90000000021009dae</x:v>
      </x:c>
      <x:c r="I48" s="211" t="str">
        <x:v>单条内容页</x:v>
      </x:c>
      <x:c r="J48" s="211" t="str">
        <x:v>搜索卡片可见点赞</x:v>
      </x:c>
      <x:c r="K48" s="211" t="str">
        <x:v>1397</x:v>
      </x:c>
      <x:c r="L48" s="217" t="str">
        <x:v>报‼️名创×拓麻歌子快闪活动攻略一览‼️</x:v>
      </x:c>
      <x:c r="M48" s="217" t="str">
        <x:v>未读取评论；仅按公开标题/摘要编码</x:v>
      </x:c>
      <x:c r="N48" s="211" t="str">
        <x:v>中性</x:v>
      </x:c>
      <x:c r="O48" s="211" t="str">
        <x:v>发现/比较</x:v>
      </x:c>
      <x:c r="P48" s="211" t="str">
        <x:v>IP潮玩</x:v>
      </x:c>
      <x:c r="Q48" s="211" t="str">
        <x:v>角色偏好与IP情绪价值</x:v>
      </x:c>
      <x:c r="R48" s="223" t="str">
        <x:v>2</x:v>
      </x:c>
      <x:c r="S48" s="211" t="str">
        <x:v>高</x:v>
      </x:c>
      <x:c r="T48" s="217" t="str">
        <x:v>按角色而非系列预测需求</x:v>
      </x:c>
      <x:c r="U48" s="211" t="str">
        <x:v>B-搜索结果卡片</x:v>
      </x:c>
      <x:c r="V48" s="211" t="str">
        <x:v>是</x:v>
      </x:c>
      <x:c r="W48" s="211" t="str">
        <x:v>2026-07-18</x:v>
      </x:c>
    </x:row>
    <x:row r="49">
      <x:c r="A49" s="211" t="str">
        <x:v>xhs-6a59a00f000000000100c9a4</x:v>
      </x:c>
      <x:c r="B49" s="211" t="str">
        <x:v>小红书</x:v>
      </x:c>
      <x:c r="C49" s="211" t="str">
        <x:v>中国</x:v>
      </x:c>
      <x:c r="D49" s="211" t="str">
        <x:v>中文</x:v>
      </x:c>
      <x:c r="E49" s="211" t="str">
        <x:v>A～</x:v>
      </x:c>
      <x:c r="F49" s="211" t="str">
        <x:v>昨天 11:22</x:v>
      </x:c>
      <x:c r="G49" s="217" t="str">
        <x:v>名创优品99-40叠加凑单教程来啦</x:v>
      </x:c>
      <x:c r="H49" s="211" t="str">
        <x:v>https://www.rednote.com/explore/6a59a00f000000000100c9a4</x:v>
      </x:c>
      <x:c r="I49" s="211" t="str">
        <x:v>单条内容页</x:v>
      </x:c>
      <x:c r="J49" s="211" t="str">
        <x:v>搜索卡片可见点赞</x:v>
      </x:c>
      <x:c r="K49" s="211" t="str">
        <x:v>2</x:v>
      </x:c>
      <x:c r="L49" s="217" t="str">
        <x:v>名创优品99-40叠加凑单教程来啦</x:v>
      </x:c>
      <x:c r="M49" s="217" t="str">
        <x:v>未读取评论；仅按公开标题/摘要编码</x:v>
      </x:c>
      <x:c r="N49" s="211" t="str">
        <x:v>中性</x:v>
      </x:c>
      <x:c r="O49" s="211" t="str">
        <x:v>购买中</x:v>
      </x:c>
      <x:c r="P49" s="211" t="str">
        <x:v>促销与价格</x:v>
      </x:c>
      <x:c r="Q49" s="211" t="str">
        <x:v>促销门槛与价格敏感</x:v>
      </x:c>
      <x:c r="R49" s="223" t="str">
        <x:v>2</x:v>
      </x:c>
      <x:c r="S49" s="211" t="str">
        <x:v>高</x:v>
      </x:c>
      <x:c r="T49" s="217" t="str">
        <x:v>促销规则模拟器与可解释凑单方案</x:v>
      </x:c>
      <x:c r="U49" s="211" t="str">
        <x:v>B-搜索结果卡片</x:v>
      </x:c>
      <x:c r="V49" s="211" t="str">
        <x:v>是</x:v>
      </x:c>
      <x:c r="W49" s="211" t="str">
        <x:v>2026-07-18</x:v>
      </x:c>
    </x:row>
    <x:row r="50">
      <x:c r="A50" s="211" t="str">
        <x:v>xhs-6a5991fe000000001d00f066</x:v>
      </x:c>
      <x:c r="B50" s="211" t="str">
        <x:v>小红书</x:v>
      </x:c>
      <x:c r="C50" s="211" t="str">
        <x:v>中国</x:v>
      </x:c>
      <x:c r="D50" s="211" t="str">
        <x:v>中文</x:v>
      </x:c>
      <x:c r="E50" s="211" t="str">
        <x:v>神奇土豆丝</x:v>
      </x:c>
      <x:c r="F50" s="211" t="str">
        <x:v>昨天 10:22</x:v>
      </x:c>
      <x:c r="G50" s="217" t="str">
        <x:v>名创优品99-40超夯来袭～</x:v>
      </x:c>
      <x:c r="H50" s="211" t="str">
        <x:v>https://www.rednote.com/explore/6a5991fe000000001d00f066</x:v>
      </x:c>
      <x:c r="I50" s="211" t="str">
        <x:v>单条内容页</x:v>
      </x:c>
      <x:c r="J50" s="211" t="str">
        <x:v>搜索卡片可见点赞</x:v>
      </x:c>
      <x:c r="K50" s="211" t="str">
        <x:v>1</x:v>
      </x:c>
      <x:c r="L50" s="217" t="str">
        <x:v>名创优品99-40超夯来袭～</x:v>
      </x:c>
      <x:c r="M50" s="217" t="str">
        <x:v>未读取评论；仅按公开标题/摘要编码</x:v>
      </x:c>
      <x:c r="N50" s="211" t="str">
        <x:v>正向</x:v>
      </x:c>
      <x:c r="O50" s="211" t="str">
        <x:v>购买中</x:v>
      </x:c>
      <x:c r="P50" s="211" t="str">
        <x:v>促销与价格</x:v>
      </x:c>
      <x:c r="Q50" s="211" t="str">
        <x:v>促销门槛与价格敏感</x:v>
      </x:c>
      <x:c r="R50" s="223" t="str">
        <x:v>2</x:v>
      </x:c>
      <x:c r="S50" s="211" t="str">
        <x:v>高</x:v>
      </x:c>
      <x:c r="T50" s="217" t="str">
        <x:v>促销规则模拟器与可解释凑单方案</x:v>
      </x:c>
      <x:c r="U50" s="211" t="str">
        <x:v>B-搜索结果卡片</x:v>
      </x:c>
      <x:c r="V50" s="211" t="str">
        <x:v>是</x:v>
      </x:c>
      <x:c r="W50" s="211" t="str">
        <x:v>2026-07-18</x:v>
      </x:c>
    </x:row>
    <x:row r="51">
      <x:c r="A51" s="211" t="str">
        <x:v>xhs-69ae9d7f000000002800a42c</x:v>
      </x:c>
      <x:c r="B51" s="211" t="str">
        <x:v>小红书</x:v>
      </x:c>
      <x:c r="C51" s="211" t="str">
        <x:v>中国</x:v>
      </x:c>
      <x:c r="D51" s="211" t="str">
        <x:v>中文</x:v>
      </x:c>
      <x:c r="E51" s="211" t="str">
        <x:v>Lulu🐈</x:v>
      </x:c>
      <x:c r="F51" s="211" t="str">
        <x:v>03-09</x:v>
      </x:c>
      <x:c r="G51" s="217" t="str">
        <x:v>名创优品唇釉推荐！！！</x:v>
      </x:c>
      <x:c r="H51" s="211" t="str">
        <x:v>https://www.rednote.com/explore/69ae9d7f000000002800a42c</x:v>
      </x:c>
      <x:c r="I51" s="211" t="str">
        <x:v>单条内容页</x:v>
      </x:c>
      <x:c r="J51" s="211" t="str">
        <x:v>搜索卡片可见点赞</x:v>
      </x:c>
      <x:c r="K51" s="211" t="str">
        <x:v>783</x:v>
      </x:c>
      <x:c r="L51" s="217" t="str">
        <x:v>名创优品唇釉推荐！！！</x:v>
      </x:c>
      <x:c r="M51" s="217" t="str">
        <x:v>未读取评论；仅按公开标题/摘要编码</x:v>
      </x:c>
      <x:c r="N51" s="211" t="str">
        <x:v>中性</x:v>
      </x:c>
      <x:c r="O51" s="211" t="str">
        <x:v>发现/比较</x:v>
      </x:c>
      <x:c r="P51" s="211" t="str">
        <x:v>彩妆个护</x:v>
      </x:c>
      <x:c r="Q51" s="211" t="str">
        <x:v>高频使用与复购价值</x:v>
      </x:c>
      <x:c r="R51" s="223" t="str">
        <x:v>2</x:v>
      </x:c>
      <x:c r="S51" s="211" t="str">
        <x:v>高</x:v>
      </x:c>
      <x:c r="T51" s="217" t="str">
        <x:v>色号、肤质与新手任务场景共创</x:v>
      </x:c>
      <x:c r="U51" s="211" t="str">
        <x:v>B-搜索结果卡片</x:v>
      </x:c>
      <x:c r="V51" s="211" t="str">
        <x:v>是</x:v>
      </x:c>
      <x:c r="W51" s="211" t="str">
        <x:v>2026-07-18</x:v>
      </x:c>
    </x:row>
    <x:row r="52">
      <x:c r="A52" s="211" t="str">
        <x:v>xhs-6a583f930000000013025031</x:v>
      </x:c>
      <x:c r="B52" s="211" t="str">
        <x:v>小红书</x:v>
      </x:c>
      <x:c r="C52" s="211" t="str">
        <x:v>中国</x:v>
      </x:c>
      <x:c r="D52" s="211" t="str">
        <x:v>中文</x:v>
      </x:c>
      <x:c r="E52" s="211" t="str">
        <x:v>蛋是挞不爱我</x:v>
      </x:c>
      <x:c r="F52" s="211" t="str">
        <x:v>1天前</x:v>
      </x:c>
      <x:c r="G52" s="217" t="str">
        <x:v>名创优品99-40抄作业（kt粉版）</x:v>
      </x:c>
      <x:c r="H52" s="211" t="str">
        <x:v>https://www.rednote.com/explore/6a583f930000000013025031</x:v>
      </x:c>
      <x:c r="I52" s="211" t="str">
        <x:v>单条内容页</x:v>
      </x:c>
      <x:c r="J52" s="211" t="str">
        <x:v>搜索卡片可见点赞</x:v>
      </x:c>
      <x:c r="K52" s="211" t="str">
        <x:v>6</x:v>
      </x:c>
      <x:c r="L52" s="217" t="str">
        <x:v>名创优品99-40抄作业（kt粉版）</x:v>
      </x:c>
      <x:c r="M52" s="217" t="str">
        <x:v>未读取评论；仅按公开标题/摘要编码</x:v>
      </x:c>
      <x:c r="N52" s="211" t="str">
        <x:v>中性</x:v>
      </x:c>
      <x:c r="O52" s="211" t="str">
        <x:v>购买中</x:v>
      </x:c>
      <x:c r="P52" s="211" t="str">
        <x:v>促销与价格</x:v>
      </x:c>
      <x:c r="Q52" s="211" t="str">
        <x:v>促销门槛与价格敏感</x:v>
      </x:c>
      <x:c r="R52" s="223" t="str">
        <x:v>2</x:v>
      </x:c>
      <x:c r="S52" s="211" t="str">
        <x:v>高</x:v>
      </x:c>
      <x:c r="T52" s="217" t="str">
        <x:v>促销规则模拟器与可解释凑单方案</x:v>
      </x:c>
      <x:c r="U52" s="211" t="str">
        <x:v>B-搜索结果卡片</x:v>
      </x:c>
      <x:c r="V52" s="211" t="str">
        <x:v>是</x:v>
      </x:c>
      <x:c r="W52" s="211" t="str">
        <x:v>2026-07-18</x:v>
      </x:c>
    </x:row>
    <x:row r="53">
      <x:c r="A53" s="211" t="str">
        <x:v>xhs-6a085823000000000702e0de</x:v>
      </x:c>
      <x:c r="B53" s="211" t="str">
        <x:v>小红书</x:v>
      </x:c>
      <x:c r="C53" s="211" t="str">
        <x:v>中国</x:v>
      </x:c>
      <x:c r="D53" s="211" t="str">
        <x:v>中文</x:v>
      </x:c>
      <x:c r="E53" s="211" t="str">
        <x:v>甜橙少女🍊</x:v>
      </x:c>
      <x:c r="F53" s="211" t="str">
        <x:v>05-16</x:v>
      </x:c>
      <x:c r="G53" s="217" t="str">
        <x:v>不敢信！名创全家桶自带淡人苹果香|无广</x:v>
      </x:c>
      <x:c r="H53" s="211" t="str">
        <x:v>https://www.rednote.com/explore/6a085823000000000702e0de</x:v>
      </x:c>
      <x:c r="I53" s="211" t="str">
        <x:v>单条内容页</x:v>
      </x:c>
      <x:c r="J53" s="211" t="str">
        <x:v>点赞/收藏/评论</x:v>
      </x:c>
      <x:c r="K53" s="211" t="str">
        <x:v>点赞584;收藏326;评论20</x:v>
      </x:c>
      <x:c r="L53" s="217" t="str">
        <x:v>苹果香全家桶以无广、淡香、夏日香氛为主要卖点。</x:v>
      </x:c>
      <x:c r="M53" s="217" t="str">
        <x:v>评论未稳定加载；收藏高于点赞的一半，显示购买参考价值</x:v>
      </x:c>
      <x:c r="N53" s="211" t="str">
        <x:v>正向</x:v>
      </x:c>
      <x:c r="O53" s="211" t="str">
        <x:v>发现/比较</x:v>
      </x:c>
      <x:c r="P53" s="211" t="str">
        <x:v>香氛</x:v>
      </x:c>
      <x:c r="Q53" s="211" t="str">
        <x:v>香型偏好与预期管理</x:v>
      </x:c>
      <x:c r="R53" s="223" t="str">
        <x:v>2</x:v>
      </x:c>
      <x:c r="S53" s="211" t="str">
        <x:v>高</x:v>
      </x:c>
      <x:c r="T53" s="217" t="str">
        <x:v>香型描述标准化与小样/试闻验证</x:v>
      </x:c>
      <x:c r="U53" s="211" t="str">
        <x:v>A-详情页含公开评论</x:v>
      </x:c>
      <x:c r="V53" s="211" t="str">
        <x:v>是</x:v>
      </x:c>
      <x:c r="W53" s="211" t="str">
        <x:v>2026-07-18</x:v>
      </x:c>
    </x:row>
    <x:row r="54">
      <x:c r="A54" s="211" t="str">
        <x:v>xhs-6a58b2d8000000000101ef43</x:v>
      </x:c>
      <x:c r="B54" s="211" t="str">
        <x:v>小红书</x:v>
      </x:c>
      <x:c r="C54" s="211" t="str">
        <x:v>中国</x:v>
      </x:c>
      <x:c r="D54" s="211" t="str">
        <x:v>中文</x:v>
      </x:c>
      <x:c r="E54" s="211" t="str">
        <x:v>圆圆（接offer版）</x:v>
      </x:c>
      <x:c r="F54" s="211" t="str">
        <x:v>1天前</x:v>
      </x:c>
      <x:c r="G54" s="217" t="str">
        <x:v>名创优品急招暑期实习日薪260，速冲！！</x:v>
      </x:c>
      <x:c r="H54" s="211" t="str">
        <x:v>https://www.rednote.com/explore/6a58b2d8000000000101ef43</x:v>
      </x:c>
      <x:c r="I54" s="211" t="str">
        <x:v>单条内容页</x:v>
      </x:c>
      <x:c r="J54" s="211" t="str">
        <x:v>搜索卡片可见点赞</x:v>
      </x:c>
      <x:c r="K54" s="211" t="str">
        <x:v>2</x:v>
      </x:c>
      <x:c r="L54" s="217" t="str">
        <x:v>名创优品急招暑期实习日薪260，速冲！！</x:v>
      </x:c>
      <x:c r="M54" s="217" t="str">
        <x:v>未读取评论；仅按公开标题/摘要编码</x:v>
      </x:c>
      <x:c r="N54" s="211" t="str">
        <x:v>中性</x:v>
      </x:c>
      <x:c r="O54" s="211" t="str">
        <x:v>发现/比较</x:v>
      </x:c>
      <x:c r="P54" s="211" t="str">
        <x:v>非消费反馈</x:v>
      </x:c>
      <x:c r="Q54" s="211" t="str">
        <x:v>检索噪声/雇主品牌</x:v>
      </x:c>
      <x:c r="R54" s="223" t="str">
        <x:v>2</x:v>
      </x:c>
      <x:c r="S54" s="211" t="str">
        <x:v>低</x:v>
      </x:c>
      <x:c r="T54" s="217" t="str">
        <x:v>高频任务型单品池与复购验证</x:v>
      </x:c>
      <x:c r="U54" s="211" t="str">
        <x:v>B-搜索结果卡片</x:v>
      </x:c>
      <x:c r="V54" s="211" t="str">
        <x:v>否</x:v>
      </x:c>
      <x:c r="W54" s="211" t="str">
        <x:v>2026-07-18</x:v>
      </x:c>
    </x:row>
    <x:row r="55">
      <x:c r="A55" s="211" t="str">
        <x:v>xhs-6a0096d5000000003700c839</x:v>
      </x:c>
      <x:c r="B55" s="211" t="str">
        <x:v>小红书</x:v>
      </x:c>
      <x:c r="C55" s="211" t="str">
        <x:v>中国</x:v>
      </x:c>
      <x:c r="D55" s="211" t="str">
        <x:v>中文</x:v>
      </x:c>
      <x:c r="E55" s="211" t="str">
        <x:v>半夜想吃酱香猪蹄</x:v>
      </x:c>
      <x:c r="F55" s="211" t="str">
        <x:v>05-10</x:v>
      </x:c>
      <x:c r="G55" s="217" t="str">
        <x:v>名创优品Hello Kitty香薰盲盒4连拆！🤩</x:v>
      </x:c>
      <x:c r="H55" s="211" t="str">
        <x:v>https://www.rednote.com/explore/6a0096d5000000003700c839</x:v>
      </x:c>
      <x:c r="I55" s="211" t="str">
        <x:v>单条内容页</x:v>
      </x:c>
      <x:c r="J55" s="211" t="str">
        <x:v>点赞/收藏/评论</x:v>
      </x:c>
      <x:c r="K55" s="211" t="str">
        <x:v>点赞213;收藏62;评论6</x:v>
      </x:c>
      <x:c r="L55" s="217" t="str">
        <x:v>Hello Kitty香薰盲盒四连拆，卖点叠加毛绒、录音、变色与淡香。</x:v>
      </x:c>
      <x:c r="M55" s="217" t="str">
        <x:v>评论未稳定加载；正文显示多感官/可玩功能提升盲盒价值</x:v>
      </x:c>
      <x:c r="N55" s="211" t="str">
        <x:v>正向</x:v>
      </x:c>
      <x:c r="O55" s="211" t="str">
        <x:v>发现/比较</x:v>
      </x:c>
      <x:c r="P55" s="211" t="str">
        <x:v>香氛</x:v>
      </x:c>
      <x:c r="Q55" s="211" t="str">
        <x:v>香型偏好与预期管理</x:v>
      </x:c>
      <x:c r="R55" s="223" t="str">
        <x:v>2</x:v>
      </x:c>
      <x:c r="S55" s="211" t="str">
        <x:v>高</x:v>
      </x:c>
      <x:c r="T55" s="217" t="str">
        <x:v>香型描述标准化与小样/试闻验证</x:v>
      </x:c>
      <x:c r="U55" s="211" t="str">
        <x:v>A-详情页含公开评论</x:v>
      </x:c>
      <x:c r="V55" s="211" t="str">
        <x:v>是</x:v>
      </x:c>
      <x:c r="W55" s="211" t="str">
        <x:v>2026-07-18</x:v>
      </x:c>
    </x:row>
    <x:row r="56">
      <x:c r="A56" s="211" t="str">
        <x:v>xhs-6a1900d20000000007028068</x:v>
      </x:c>
      <x:c r="B56" s="211" t="str">
        <x:v>小红书</x:v>
      </x:c>
      <x:c r="C56" s="211" t="str">
        <x:v>中国</x:v>
      </x:c>
      <x:c r="D56" s="211" t="str">
        <x:v>中文</x:v>
      </x:c>
      <x:c r="E56" s="211" t="str">
        <x:v>臣妾做不到</x:v>
      </x:c>
      <x:c r="F56" s="211" t="str">
        <x:v>05-31</x:v>
      </x:c>
      <x:c r="G56" s="217" t="str">
        <x:v>miniso×chiikawa×三丽鸥上新啦</x:v>
      </x:c>
      <x:c r="H56" s="211" t="str">
        <x:v>https://www.rednote.com/explore/6a1900d20000000007028068</x:v>
      </x:c>
      <x:c r="I56" s="211" t="str">
        <x:v>单条内容页</x:v>
      </x:c>
      <x:c r="J56" s="211" t="str">
        <x:v>搜索卡片可见点赞</x:v>
      </x:c>
      <x:c r="K56" s="211" t="str">
        <x:v>51</x:v>
      </x:c>
      <x:c r="L56" s="217" t="str">
        <x:v>miniso×chiikawa×三丽鸥上新啦</x:v>
      </x:c>
      <x:c r="M56" s="217" t="str">
        <x:v>未读取评论；仅按公开标题/摘要编码</x:v>
      </x:c>
      <x:c r="N56" s="211" t="str">
        <x:v>中性</x:v>
      </x:c>
      <x:c r="O56" s="211" t="str">
        <x:v>发现/比较</x:v>
      </x:c>
      <x:c r="P56" s="211" t="str">
        <x:v>IP潮玩</x:v>
      </x:c>
      <x:c r="Q56" s="211" t="str">
        <x:v>角色偏好与IP情绪价值</x:v>
      </x:c>
      <x:c r="R56" s="223" t="str">
        <x:v>2</x:v>
      </x:c>
      <x:c r="S56" s="211" t="str">
        <x:v>高</x:v>
      </x:c>
      <x:c r="T56" s="217" t="str">
        <x:v>按角色而非系列预测需求</x:v>
      </x:c>
      <x:c r="U56" s="211" t="str">
        <x:v>B-搜索结果卡片</x:v>
      </x:c>
      <x:c r="V56" s="211" t="str">
        <x:v>是</x:v>
      </x:c>
      <x:c r="W56" s="211" t="str">
        <x:v>2026-07-18</x:v>
      </x:c>
    </x:row>
    <x:row r="57">
      <x:c r="A57" s="211" t="str">
        <x:v>xhs-6a59d986000000000100c0d6</x:v>
      </x:c>
      <x:c r="B57" s="211" t="str">
        <x:v>小红书</x:v>
      </x:c>
      <x:c r="C57" s="211" t="str">
        <x:v>中国</x:v>
      </x:c>
      <x:c r="D57" s="211" t="str">
        <x:v>中文</x:v>
      </x:c>
      <x:c r="E57" s="211" t="str">
        <x:v>跳舞拿铁</x:v>
      </x:c>
      <x:c r="F57" s="211" t="str">
        <x:v>昨天 15:28</x:v>
      </x:c>
      <x:c r="G57" s="217" t="str">
        <x:v>中央大街又登陆一家，这次是MINISO LAND</x:v>
      </x:c>
      <x:c r="H57" s="211" t="str">
        <x:v>https://www.rednote.com/explore/6a59d986000000000100c0d6</x:v>
      </x:c>
      <x:c r="I57" s="211" t="str">
        <x:v>单条内容页</x:v>
      </x:c>
      <x:c r="J57" s="211" t="str">
        <x:v>搜索卡片可见点赞</x:v>
      </x:c>
      <x:c r="K57" s="211" t="str">
        <x:v>82</x:v>
      </x:c>
      <x:c r="L57" s="217" t="str">
        <x:v>中央大街又登陆一家，这次是MINISO LAND</x:v>
      </x:c>
      <x:c r="M57" s="217" t="str">
        <x:v>未读取评论；仅按公开标题/摘要编码</x:v>
      </x:c>
      <x:c r="N57" s="211" t="str">
        <x:v>中性</x:v>
      </x:c>
      <x:c r="O57" s="211" t="str">
        <x:v>到店体验</x:v>
      </x:c>
      <x:c r="P57" s="211" t="str">
        <x:v>门店体验</x:v>
      </x:c>
      <x:c r="Q57" s="211" t="str">
        <x:v>门店分级与逛店体验</x:v>
      </x:c>
      <x:c r="R57" s="223" t="str">
        <x:v>2</x:v>
      </x:c>
      <x:c r="S57" s="211" t="str">
        <x:v>高</x:v>
      </x:c>
      <x:c r="T57" s="217" t="str">
        <x:v>店型承诺、货盘与陈列一致性检查</x:v>
      </x:c>
      <x:c r="U57" s="211" t="str">
        <x:v>B-搜索结果卡片</x:v>
      </x:c>
      <x:c r="V57" s="211" t="str">
        <x:v>是</x:v>
      </x:c>
      <x:c r="W57" s="211" t="str">
        <x:v>2026-07-18</x:v>
      </x:c>
    </x:row>
    <x:row r="58">
      <x:c r="A58" s="211" t="str">
        <x:v>xhs-69d8c94f000000002302245e</x:v>
      </x:c>
      <x:c r="B58" s="211" t="str">
        <x:v>小红书</x:v>
      </x:c>
      <x:c r="C58" s="211" t="str">
        <x:v>中国</x:v>
      </x:c>
      <x:c r="D58" s="211" t="str">
        <x:v>中文</x:v>
      </x:c>
      <x:c r="E58" s="211" t="str">
        <x:v>美到不睡觉</x:v>
      </x:c>
      <x:c r="F58" s="211" t="str">
        <x:v>04-12</x:v>
      </x:c>
      <x:c r="G58" s="217" t="str">
        <x:v>逛过百次名创优品总结出来的必买清单🧾</x:v>
      </x:c>
      <x:c r="H58" s="211" t="str">
        <x:v>https://www.rednote.com/explore/69d8c94f000000002302245e</x:v>
      </x:c>
      <x:c r="I58" s="211" t="str">
        <x:v>单条内容页</x:v>
      </x:c>
      <x:c r="J58" s="211" t="str">
        <x:v>搜索卡片可见点赞</x:v>
      </x:c>
      <x:c r="K58" s="211" t="str">
        <x:v>48</x:v>
      </x:c>
      <x:c r="L58" s="217" t="str">
        <x:v>逛过百次名创优品总结出来的必买清单🧾</x:v>
      </x:c>
      <x:c r="M58" s="217" t="str">
        <x:v>未读取评论；仅按公开标题/摘要编码</x:v>
      </x:c>
      <x:c r="N58" s="211" t="str">
        <x:v>正向</x:v>
      </x:c>
      <x:c r="O58" s="211" t="str">
        <x:v>发现/比较</x:v>
      </x:c>
      <x:c r="P58" s="211" t="str">
        <x:v>生活日用</x:v>
      </x:c>
      <x:c r="Q58" s="211" t="str">
        <x:v>高频使用与复购价值</x:v>
      </x:c>
      <x:c r="R58" s="223" t="str">
        <x:v>2</x:v>
      </x:c>
      <x:c r="S58" s="211" t="str">
        <x:v>高</x:v>
      </x:c>
      <x:c r="T58" s="217" t="str">
        <x:v>高频任务型单品池与复购验证</x:v>
      </x:c>
      <x:c r="U58" s="211" t="str">
        <x:v>B-搜索结果卡片</x:v>
      </x:c>
      <x:c r="V58" s="211" t="str">
        <x:v>是</x:v>
      </x:c>
      <x:c r="W58" s="211" t="str">
        <x:v>2026-07-18</x:v>
      </x:c>
    </x:row>
    <x:row r="59">
      <x:c r="A59" s="211" t="str">
        <x:v>xhs-6a58ae58000000000100c8f2</x:v>
      </x:c>
      <x:c r="B59" s="211" t="str">
        <x:v>小红书</x:v>
      </x:c>
      <x:c r="C59" s="211" t="str">
        <x:v>中国</x:v>
      </x:c>
      <x:c r="D59" s="211" t="str">
        <x:v>中文</x:v>
      </x:c>
      <x:c r="E59" s="211" t="str">
        <x:v>奶瓶吃不饱</x:v>
      </x:c>
      <x:c r="F59" s="211" t="str">
        <x:v>1天前</x:v>
      </x:c>
      <x:c r="G59" s="217" t="str">
        <x:v>哈尔滨中央大街！！新开的！好震撼啊啊！！</x:v>
      </x:c>
      <x:c r="H59" s="211" t="str">
        <x:v>https://www.rednote.com/explore/6a58ae58000000000100c8f2</x:v>
      </x:c>
      <x:c r="I59" s="211" t="str">
        <x:v>单条内容页</x:v>
      </x:c>
      <x:c r="J59" s="211" t="str">
        <x:v>搜索卡片可见点赞</x:v>
      </x:c>
      <x:c r="K59" s="211" t="str">
        <x:v>78</x:v>
      </x:c>
      <x:c r="L59" s="217" t="str">
        <x:v>哈尔滨中央大街！！新开的！好震撼啊啊！！</x:v>
      </x:c>
      <x:c r="M59" s="217" t="str">
        <x:v>未读取评论；仅按公开标题/摘要编码</x:v>
      </x:c>
      <x:c r="N59" s="211" t="str">
        <x:v>中性</x:v>
      </x:c>
      <x:c r="O59" s="211" t="str">
        <x:v>到店体验</x:v>
      </x:c>
      <x:c r="P59" s="211" t="str">
        <x:v>门店体验</x:v>
      </x:c>
      <x:c r="Q59" s="211" t="str">
        <x:v>门店分级与逛店体验</x:v>
      </x:c>
      <x:c r="R59" s="223" t="str">
        <x:v>2</x:v>
      </x:c>
      <x:c r="S59" s="211" t="str">
        <x:v>高</x:v>
      </x:c>
      <x:c r="T59" s="217" t="str">
        <x:v>店型承诺、货盘与陈列一致性检查</x:v>
      </x:c>
      <x:c r="U59" s="211" t="str">
        <x:v>B-搜索结果卡片</x:v>
      </x:c>
      <x:c r="V59" s="211" t="str">
        <x:v>是</x:v>
      </x:c>
      <x:c r="W59" s="211" t="str">
        <x:v>2026-07-18</x:v>
      </x:c>
    </x:row>
    <x:row r="60">
      <x:c r="A60" s="211" t="str">
        <x:v>xhs-6a4e04fd0000000022018fc5</x:v>
      </x:c>
      <x:c r="B60" s="211" t="str">
        <x:v>小红书</x:v>
      </x:c>
      <x:c r="C60" s="211" t="str">
        <x:v>中国</x:v>
      </x:c>
      <x:c r="D60" s="211" t="str">
        <x:v>中文</x:v>
      </x:c>
      <x:c r="E60" s="211" t="str">
        <x:v>水色真</x:v>
      </x:c>
      <x:c r="F60" s="211" t="str">
        <x:v>07-08</x:v>
      </x:c>
      <x:c r="G60" s="217" t="str">
        <x:v>今天发现名创优品竟然99-65</x:v>
      </x:c>
      <x:c r="H60" s="211" t="str">
        <x:v>https://www.rednote.com/explore/6a4e04fd0000000022018fc5</x:v>
      </x:c>
      <x:c r="I60" s="211" t="str">
        <x:v>单条内容页</x:v>
      </x:c>
      <x:c r="J60" s="211" t="str">
        <x:v>搜索卡片可见点赞</x:v>
      </x:c>
      <x:c r="K60" s="211" t="str"/>
      <x:c r="L60" s="217" t="str">
        <x:v>今天发现名创优品竟然99-65</x:v>
      </x:c>
      <x:c r="M60" s="217" t="str">
        <x:v>未读取评论；仅按公开标题/摘要编码</x:v>
      </x:c>
      <x:c r="N60" s="211" t="str">
        <x:v>中性</x:v>
      </x:c>
      <x:c r="O60" s="211" t="str">
        <x:v>购买中</x:v>
      </x:c>
      <x:c r="P60" s="211" t="str">
        <x:v>促销与价格</x:v>
      </x:c>
      <x:c r="Q60" s="211" t="str">
        <x:v>促销门槛与价格敏感</x:v>
      </x:c>
      <x:c r="R60" s="223" t="str">
        <x:v>2</x:v>
      </x:c>
      <x:c r="S60" s="211" t="str">
        <x:v>高</x:v>
      </x:c>
      <x:c r="T60" s="217" t="str">
        <x:v>促销规则模拟器与可解释凑单方案</x:v>
      </x:c>
      <x:c r="U60" s="211" t="str">
        <x:v>B-搜索结果卡片</x:v>
      </x:c>
      <x:c r="V60" s="211" t="str">
        <x:v>是</x:v>
      </x:c>
      <x:c r="W60" s="211" t="str">
        <x:v>2026-07-18</x:v>
      </x:c>
    </x:row>
    <x:row r="61">
      <x:c r="A61" s="211" t="str">
        <x:v>xhs-6a58ab8c000000000101fac0</x:v>
      </x:c>
      <x:c r="B61" s="211" t="str">
        <x:v>小红书</x:v>
      </x:c>
      <x:c r="C61" s="211" t="str">
        <x:v>中国</x:v>
      </x:c>
      <x:c r="D61" s="211" t="str">
        <x:v>中文</x:v>
      </x:c>
      <x:c r="E61" s="211" t="str">
        <x:v>你的乌龙桃桃</x:v>
      </x:c>
      <x:c r="F61" s="211" t="str">
        <x:v>1天前</x:v>
      </x:c>
      <x:c r="G61" s="217" t="str">
        <x:v>名创优品99-65已买不欠，攻略奉上</x:v>
      </x:c>
      <x:c r="H61" s="211" t="str">
        <x:v>https://www.rednote.com/explore/6a58ab8c000000000101fac0</x:v>
      </x:c>
      <x:c r="I61" s="211" t="str">
        <x:v>单条内容页</x:v>
      </x:c>
      <x:c r="J61" s="211" t="str">
        <x:v>搜索卡片可见点赞</x:v>
      </x:c>
      <x:c r="K61" s="211" t="str">
        <x:v>1</x:v>
      </x:c>
      <x:c r="L61" s="217" t="str">
        <x:v>名创优品99-65已买不欠，攻略奉上</x:v>
      </x:c>
      <x:c r="M61" s="217" t="str">
        <x:v>未读取评论；仅按公开标题/摘要编码</x:v>
      </x:c>
      <x:c r="N61" s="211" t="str">
        <x:v>中性</x:v>
      </x:c>
      <x:c r="O61" s="211" t="str">
        <x:v>购买中</x:v>
      </x:c>
      <x:c r="P61" s="211" t="str">
        <x:v>促销与价格</x:v>
      </x:c>
      <x:c r="Q61" s="211" t="str">
        <x:v>促销门槛与价格敏感</x:v>
      </x:c>
      <x:c r="R61" s="223" t="str">
        <x:v>2</x:v>
      </x:c>
      <x:c r="S61" s="211" t="str">
        <x:v>高</x:v>
      </x:c>
      <x:c r="T61" s="217" t="str">
        <x:v>促销规则模拟器与可解释凑单方案</x:v>
      </x:c>
      <x:c r="U61" s="211" t="str">
        <x:v>B-搜索结果卡片</x:v>
      </x:c>
      <x:c r="V61" s="211" t="str">
        <x:v>是</x:v>
      </x:c>
      <x:c r="W61" s="211" t="str">
        <x:v>2026-07-18</x:v>
      </x:c>
    </x:row>
    <x:row r="62">
      <x:c r="A62" s="211" t="str">
        <x:v>xhs-698ef73f000000000a029fb4</x:v>
      </x:c>
      <x:c r="B62" s="211" t="str">
        <x:v>小红书</x:v>
      </x:c>
      <x:c r="C62" s="211" t="str">
        <x:v>中国</x:v>
      </x:c>
      <x:c r="D62" s="211" t="str">
        <x:v>中文</x:v>
      </x:c>
      <x:c r="E62" s="211" t="str">
        <x:v>叁叁柒337</x:v>
      </x:c>
      <x:c r="F62" s="211" t="str">
        <x:v>02-13</x:v>
      </x:c>
      <x:c r="G62" s="217" t="str">
        <x:v>北京Miniso Friends能逛好久啊🚬</x:v>
      </x:c>
      <x:c r="H62" s="211" t="str">
        <x:v>https://www.rednote.com/explore/698ef73f000000000a029fb4</x:v>
      </x:c>
      <x:c r="I62" s="211" t="str">
        <x:v>单条内容页</x:v>
      </x:c>
      <x:c r="J62" s="211" t="str">
        <x:v>搜索卡片可见点赞</x:v>
      </x:c>
      <x:c r="K62" s="211" t="str">
        <x:v>126</x:v>
      </x:c>
      <x:c r="L62" s="217" t="str">
        <x:v>北京Miniso Friends能逛好久啊🚬</x:v>
      </x:c>
      <x:c r="M62" s="217" t="str">
        <x:v>未读取评论；仅按公开标题/摘要编码</x:v>
      </x:c>
      <x:c r="N62" s="211" t="str">
        <x:v>中性</x:v>
      </x:c>
      <x:c r="O62" s="211" t="str">
        <x:v>发现/比较</x:v>
      </x:c>
      <x:c r="P62" s="211" t="str">
        <x:v>综合/其他</x:v>
      </x:c>
      <x:c r="Q62" s="211" t="str">
        <x:v>产品发现与购买决策</x:v>
      </x:c>
      <x:c r="R62" s="223" t="str">
        <x:v>2</x:v>
      </x:c>
      <x:c r="S62" s="211" t="str">
        <x:v>中</x:v>
      </x:c>
      <x:c r="T62" s="217" t="str">
        <x:v>高频任务型单品池与复购验证</x:v>
      </x:c>
      <x:c r="U62" s="211" t="str">
        <x:v>B-搜索结果卡片</x:v>
      </x:c>
      <x:c r="V62" s="211" t="str">
        <x:v>是</x:v>
      </x:c>
      <x:c r="W62" s="211" t="str">
        <x:v>2026-07-18</x:v>
      </x:c>
    </x:row>
    <x:row r="63">
      <x:c r="A63" s="211" t="str">
        <x:v>xhs-6a58e88d00000000130270bd</x:v>
      </x:c>
      <x:c r="B63" s="211" t="str">
        <x:v>小红书</x:v>
      </x:c>
      <x:c r="C63" s="211" t="str">
        <x:v>中国</x:v>
      </x:c>
      <x:c r="D63" s="211" t="str">
        <x:v>中文</x:v>
      </x:c>
      <x:c r="E63" s="211" t="str">
        <x:v>抹茶世界第一</x:v>
      </x:c>
      <x:c r="F63" s="211" t="str">
        <x:v>1天前</x:v>
      </x:c>
      <x:c r="G63" s="217" t="str">
        <x:v>名创优品99-40</x:v>
      </x:c>
      <x:c r="H63" s="211" t="str">
        <x:v>https://www.rednote.com/explore/6a58e88d00000000130270bd</x:v>
      </x:c>
      <x:c r="I63" s="211" t="str">
        <x:v>单条内容页</x:v>
      </x:c>
      <x:c r="J63" s="211" t="str">
        <x:v>搜索卡片可见点赞</x:v>
      </x:c>
      <x:c r="K63" s="211" t="str">
        <x:v>5</x:v>
      </x:c>
      <x:c r="L63" s="217" t="str">
        <x:v>名创优品99-40</x:v>
      </x:c>
      <x:c r="M63" s="217" t="str">
        <x:v>未读取评论；仅按公开标题/摘要编码</x:v>
      </x:c>
      <x:c r="N63" s="211" t="str">
        <x:v>中性</x:v>
      </x:c>
      <x:c r="O63" s="211" t="str">
        <x:v>购买中</x:v>
      </x:c>
      <x:c r="P63" s="211" t="str">
        <x:v>促销与价格</x:v>
      </x:c>
      <x:c r="Q63" s="211" t="str">
        <x:v>促销门槛与价格敏感</x:v>
      </x:c>
      <x:c r="R63" s="223" t="str">
        <x:v>2</x:v>
      </x:c>
      <x:c r="S63" s="211" t="str">
        <x:v>高</x:v>
      </x:c>
      <x:c r="T63" s="217" t="str">
        <x:v>促销规则模拟器与可解释凑单方案</x:v>
      </x:c>
      <x:c r="U63" s="211" t="str">
        <x:v>B-搜索结果卡片</x:v>
      </x:c>
      <x:c r="V63" s="211" t="str">
        <x:v>是</x:v>
      </x:c>
      <x:c r="W63" s="211" t="str">
        <x:v>2026-07-18</x:v>
      </x:c>
    </x:row>
    <x:row r="64">
      <x:c r="A64" s="211" t="str">
        <x:v>xhs-6a59d82b000000001102c860</x:v>
      </x:c>
      <x:c r="B64" s="211" t="str">
        <x:v>小红书</x:v>
      </x:c>
      <x:c r="C64" s="211" t="str">
        <x:v>中国</x:v>
      </x:c>
      <x:c r="D64" s="211" t="str">
        <x:v>中文</x:v>
      </x:c>
      <x:c r="E64" s="211" t="str">
        <x:v>毛豆大王</x:v>
      </x:c>
      <x:c r="F64" s="211" t="str">
        <x:v>昨天 15:22</x:v>
      </x:c>
      <x:c r="G64" s="217" t="str">
        <x:v>名创优品你变了</x:v>
      </x:c>
      <x:c r="H64" s="211" t="str">
        <x:v>https://www.rednote.com/explore/6a59d82b000000001102c860</x:v>
      </x:c>
      <x:c r="I64" s="211" t="str">
        <x:v>单条内容页</x:v>
      </x:c>
      <x:c r="J64" s="211" t="str">
        <x:v>搜索卡片可见点赞</x:v>
      </x:c>
      <x:c r="K64" s="211" t="str">
        <x:v>7</x:v>
      </x:c>
      <x:c r="L64" s="217" t="str">
        <x:v>名创优品你变了</x:v>
      </x:c>
      <x:c r="M64" s="217" t="str">
        <x:v>未读取评论；仅按公开标题/摘要编码</x:v>
      </x:c>
      <x:c r="N64" s="211" t="str">
        <x:v>中性</x:v>
      </x:c>
      <x:c r="O64" s="211" t="str">
        <x:v>发现/比较</x:v>
      </x:c>
      <x:c r="P64" s="211" t="str">
        <x:v>综合/其他</x:v>
      </x:c>
      <x:c r="Q64" s="211" t="str">
        <x:v>产品发现与购买决策</x:v>
      </x:c>
      <x:c r="R64" s="223" t="str">
        <x:v>2</x:v>
      </x:c>
      <x:c r="S64" s="211" t="str">
        <x:v>中</x:v>
      </x:c>
      <x:c r="T64" s="217" t="str">
        <x:v>高频任务型单品池与复购验证</x:v>
      </x:c>
      <x:c r="U64" s="211" t="str">
        <x:v>B-搜索结果卡片</x:v>
      </x:c>
      <x:c r="V64" s="211" t="str">
        <x:v>是</x:v>
      </x:c>
      <x:c r="W64" s="211" t="str">
        <x:v>2026-07-18</x:v>
      </x:c>
    </x:row>
    <x:row r="65">
      <x:c r="A65" s="211" t="str">
        <x:v>xhs-69fdc3110000000038034acd</x:v>
      </x:c>
      <x:c r="B65" s="211" t="str">
        <x:v>小红书</x:v>
      </x:c>
      <x:c r="C65" s="211" t="str">
        <x:v>中国</x:v>
      </x:c>
      <x:c r="D65" s="211" t="str">
        <x:v>中文</x:v>
      </x:c>
      <x:c r="E65" s="211" t="str">
        <x:v>咖啡不加冰</x:v>
      </x:c>
      <x:c r="F65" s="211" t="str">
        <x:v>05-08</x:v>
      </x:c>
      <x:c r="G65" s="217" t="str">
        <x:v>名创优品不超过20r的自用好物分享</x:v>
      </x:c>
      <x:c r="H65" s="211" t="str">
        <x:v>https://www.rednote.com/explore/69fdc3110000000038034acd</x:v>
      </x:c>
      <x:c r="I65" s="211" t="str">
        <x:v>单条内容页</x:v>
      </x:c>
      <x:c r="J65" s="211" t="str">
        <x:v>搜索卡片可见点赞</x:v>
      </x:c>
      <x:c r="K65" s="211" t="str">
        <x:v>734</x:v>
      </x:c>
      <x:c r="L65" s="217" t="str">
        <x:v>名创优品不超过20r的自用好物分享</x:v>
      </x:c>
      <x:c r="M65" s="217" t="str">
        <x:v>未读取评论；仅按公开标题/摘要编码</x:v>
      </x:c>
      <x:c r="N65" s="211" t="str">
        <x:v>正向</x:v>
      </x:c>
      <x:c r="O65" s="211" t="str">
        <x:v>发现/比较</x:v>
      </x:c>
      <x:c r="P65" s="211" t="str">
        <x:v>生活日用</x:v>
      </x:c>
      <x:c r="Q65" s="211" t="str">
        <x:v>高频使用与复购价值</x:v>
      </x:c>
      <x:c r="R65" s="223" t="str">
        <x:v>2</x:v>
      </x:c>
      <x:c r="S65" s="211" t="str">
        <x:v>高</x:v>
      </x:c>
      <x:c r="T65" s="217" t="str">
        <x:v>高频任务型单品池与复购验证</x:v>
      </x:c>
      <x:c r="U65" s="211" t="str">
        <x:v>B-搜索结果卡片</x:v>
      </x:c>
      <x:c r="V65" s="211" t="str">
        <x:v>是</x:v>
      </x:c>
      <x:c r="W65" s="211" t="str">
        <x:v>2026-07-18</x:v>
      </x:c>
    </x:row>
    <x:row r="66">
      <x:c r="A66" s="211" t="str">
        <x:v>xhs-6a033df40000000036018774</x:v>
      </x:c>
      <x:c r="B66" s="211" t="str">
        <x:v>小红书</x:v>
      </x:c>
      <x:c r="C66" s="211" t="str">
        <x:v>中国</x:v>
      </x:c>
      <x:c r="D66" s="211" t="str">
        <x:v>中文</x:v>
      </x:c>
      <x:c r="E66" s="211" t="str">
        <x:v>我草莓招了</x:v>
      </x:c>
      <x:c r="F66" s="211" t="str">
        <x:v>05-12</x:v>
      </x:c>
      <x:c r="G66" s="217" t="str">
        <x:v>MINISO风扇二选一</x:v>
      </x:c>
      <x:c r="H66" s="211" t="str">
        <x:v>https://www.rednote.com/explore/6a033df40000000036018774</x:v>
      </x:c>
      <x:c r="I66" s="211" t="str">
        <x:v>单条内容页</x:v>
      </x:c>
      <x:c r="J66" s="211" t="str">
        <x:v>点赞/收藏/评论</x:v>
      </x:c>
      <x:c r="K66" s="211" t="str">
        <x:v>点赞96;收藏11;评论42</x:v>
      </x:c>
      <x:c r="L66" s="217" t="str">
        <x:v>两款小风扇二选一，体现参数和场景比较信息不足。</x:v>
      </x:c>
      <x:c r="M66" s="217" t="str">
        <x:v>评论未稳定加载；需要结构化对比续航、噪音、风量和便携性</x:v>
      </x:c>
      <x:c r="N66" s="211" t="str">
        <x:v>混合/待判断</x:v>
      </x:c>
      <x:c r="O66" s="211" t="str">
        <x:v>发现/比较</x:v>
      </x:c>
      <x:c r="P66" s="211" t="str">
        <x:v>数码小电</x:v>
      </x:c>
      <x:c r="Q66" s="211" t="str">
        <x:v>产品发现与购买决策</x:v>
      </x:c>
      <x:c r="R66" s="223" t="str">
        <x:v>3</x:v>
      </x:c>
      <x:c r="S66" s="211" t="str">
        <x:v>中</x:v>
      </x:c>
      <x:c r="T66" s="217" t="str">
        <x:v>建立可比较的功能参数与场景验证卡</x:v>
      </x:c>
      <x:c r="U66" s="211" t="str">
        <x:v>A-详情页含公开评论</x:v>
      </x:c>
      <x:c r="V66" s="211" t="str">
        <x:v>是</x:v>
      </x:c>
      <x:c r="W66" s="211" t="str">
        <x:v>2026-07-18</x:v>
      </x:c>
    </x:row>
    <x:row r="67">
      <x:c r="A67" s="211" t="str">
        <x:v>xhs-6a56e7b600000000110148b6</x:v>
      </x:c>
      <x:c r="B67" s="211" t="str">
        <x:v>小红书</x:v>
      </x:c>
      <x:c r="C67" s="211" t="str">
        <x:v>中国</x:v>
      </x:c>
      <x:c r="D67" s="211" t="str">
        <x:v>中文</x:v>
      </x:c>
      <x:c r="E67" s="211" t="str">
        <x:v>小琪.</x:v>
      </x:c>
      <x:c r="F67" s="211" t="str">
        <x:v>昨天 11:01</x:v>
      </x:c>
      <x:c r="G67" s="217" t="str">
        <x:v>今天名创优品居然99-65，凑单教程来啦</x:v>
      </x:c>
      <x:c r="H67" s="211" t="str">
        <x:v>https://www.rednote.com/explore/6a56e7b600000000110148b6</x:v>
      </x:c>
      <x:c r="I67" s="211" t="str">
        <x:v>单条内容页</x:v>
      </x:c>
      <x:c r="J67" s="211" t="str">
        <x:v>搜索卡片可见点赞</x:v>
      </x:c>
      <x:c r="K67" s="211" t="str">
        <x:v>4</x:v>
      </x:c>
      <x:c r="L67" s="217" t="str">
        <x:v>今天名创优品居然99-65，凑单教程来啦</x:v>
      </x:c>
      <x:c r="M67" s="217" t="str">
        <x:v>未读取评论；仅按公开标题/摘要编码</x:v>
      </x:c>
      <x:c r="N67" s="211" t="str">
        <x:v>中性</x:v>
      </x:c>
      <x:c r="O67" s="211" t="str">
        <x:v>购买中</x:v>
      </x:c>
      <x:c r="P67" s="211" t="str">
        <x:v>促销与价格</x:v>
      </x:c>
      <x:c r="Q67" s="211" t="str">
        <x:v>促销门槛与价格敏感</x:v>
      </x:c>
      <x:c r="R67" s="223" t="str">
        <x:v>2</x:v>
      </x:c>
      <x:c r="S67" s="211" t="str">
        <x:v>高</x:v>
      </x:c>
      <x:c r="T67" s="217" t="str">
        <x:v>促销规则模拟器与可解释凑单方案</x:v>
      </x:c>
      <x:c r="U67" s="211" t="str">
        <x:v>B-搜索结果卡片</x:v>
      </x:c>
      <x:c r="V67" s="211" t="str">
        <x:v>是</x:v>
      </x:c>
      <x:c r="W67" s="211" t="str">
        <x:v>2026-07-18</x:v>
      </x:c>
    </x:row>
    <x:row r="68">
      <x:c r="A68" s="211" t="str">
        <x:v>xhs-69855fd1000000000b013ae9</x:v>
      </x:c>
      <x:c r="B68" s="211" t="str">
        <x:v>小红书</x:v>
      </x:c>
      <x:c r="C68" s="211" t="str">
        <x:v>中国</x:v>
      </x:c>
      <x:c r="D68" s="211" t="str">
        <x:v>中文</x:v>
      </x:c>
      <x:c r="E68" s="211" t="str">
        <x:v>玻璃心</x:v>
      </x:c>
      <x:c r="F68" s="211" t="str">
        <x:v>02-06</x:v>
      </x:c>
      <x:c r="G68" s="217" t="str">
        <x:v>名创优品 99-40</x:v>
      </x:c>
      <x:c r="H68" s="211" t="str">
        <x:v>https://www.rednote.com/explore/69855fd1000000000b013ae9</x:v>
      </x:c>
      <x:c r="I68" s="211" t="str">
        <x:v>单条内容页</x:v>
      </x:c>
      <x:c r="J68" s="211" t="str">
        <x:v>搜索卡片可见点赞</x:v>
      </x:c>
      <x:c r="K68" s="211" t="str">
        <x:v>87</x:v>
      </x:c>
      <x:c r="L68" s="217" t="str">
        <x:v>名创优品 99-40</x:v>
      </x:c>
      <x:c r="M68" s="217" t="str">
        <x:v>未读取评论；仅按公开标题/摘要编码</x:v>
      </x:c>
      <x:c r="N68" s="211" t="str">
        <x:v>中性</x:v>
      </x:c>
      <x:c r="O68" s="211" t="str">
        <x:v>购买中</x:v>
      </x:c>
      <x:c r="P68" s="211" t="str">
        <x:v>促销与价格</x:v>
      </x:c>
      <x:c r="Q68" s="211" t="str">
        <x:v>促销门槛与价格敏感</x:v>
      </x:c>
      <x:c r="R68" s="223" t="str">
        <x:v>2</x:v>
      </x:c>
      <x:c r="S68" s="211" t="str">
        <x:v>高</x:v>
      </x:c>
      <x:c r="T68" s="217" t="str">
        <x:v>促销规则模拟器与可解释凑单方案</x:v>
      </x:c>
      <x:c r="U68" s="211" t="str">
        <x:v>B-搜索结果卡片</x:v>
      </x:c>
      <x:c r="V68" s="211" t="str">
        <x:v>是</x:v>
      </x:c>
      <x:c r="W68" s="211" t="str">
        <x:v>2026-07-18</x:v>
      </x:c>
    </x:row>
    <x:row r="69">
      <x:c r="A69" s="211" t="str">
        <x:v>xhs-6a58db1d000000000f012739</x:v>
      </x:c>
      <x:c r="B69" s="211" t="str">
        <x:v>小红书</x:v>
      </x:c>
      <x:c r="C69" s="211" t="str">
        <x:v>中国</x:v>
      </x:c>
      <x:c r="D69" s="211" t="str">
        <x:v>中文</x:v>
      </x:c>
      <x:c r="E69" s="211" t="str">
        <x:v>麻辣虾球</x:v>
      </x:c>
      <x:c r="F69" s="211" t="str">
        <x:v>1天前</x:v>
      </x:c>
      <x:c r="G69" s="217" t="str">
        <x:v>名创优品99➖40我买了啥好物</x:v>
      </x:c>
      <x:c r="H69" s="211" t="str">
        <x:v>https://www.rednote.com/explore/6a58db1d000000000f012739</x:v>
      </x:c>
      <x:c r="I69" s="211" t="str">
        <x:v>单条内容页</x:v>
      </x:c>
      <x:c r="J69" s="211" t="str">
        <x:v>搜索卡片可见点赞</x:v>
      </x:c>
      <x:c r="K69" s="211" t="str">
        <x:v>1</x:v>
      </x:c>
      <x:c r="L69" s="217" t="str">
        <x:v>名创优品99➖40我买了啥好物</x:v>
      </x:c>
      <x:c r="M69" s="217" t="str">
        <x:v>未读取评论；仅按公开标题/摘要编码</x:v>
      </x:c>
      <x:c r="N69" s="211" t="str">
        <x:v>正向</x:v>
      </x:c>
      <x:c r="O69" s="211" t="str">
        <x:v>发现/比较</x:v>
      </x:c>
      <x:c r="P69" s="211" t="str">
        <x:v>生活日用</x:v>
      </x:c>
      <x:c r="Q69" s="211" t="str">
        <x:v>高频使用与复购价值</x:v>
      </x:c>
      <x:c r="R69" s="223" t="str">
        <x:v>2</x:v>
      </x:c>
      <x:c r="S69" s="211" t="str">
        <x:v>高</x:v>
      </x:c>
      <x:c r="T69" s="217" t="str">
        <x:v>高频任务型单品池与复购验证</x:v>
      </x:c>
      <x:c r="U69" s="211" t="str">
        <x:v>B-搜索结果卡片</x:v>
      </x:c>
      <x:c r="V69" s="211" t="str">
        <x:v>是</x:v>
      </x:c>
      <x:c r="W69" s="211" t="str">
        <x:v>2026-07-18</x:v>
      </x:c>
    </x:row>
    <x:row r="70">
      <x:c r="A70" s="211" t="str">
        <x:v>xhs-6a587b1b000000000101d7d3</x:v>
      </x:c>
      <x:c r="B70" s="211" t="str">
        <x:v>小红书</x:v>
      </x:c>
      <x:c r="C70" s="211" t="str">
        <x:v>中国</x:v>
      </x:c>
      <x:c r="D70" s="211" t="str">
        <x:v>中文</x:v>
      </x:c>
      <x:c r="E70" s="211" t="str">
        <x:v>A～</x:v>
      </x:c>
      <x:c r="F70" s="211" t="str">
        <x:v>1天前</x:v>
      </x:c>
      <x:c r="G70" s="217" t="str">
        <x:v>名创优品99-65买到了！</x:v>
      </x:c>
      <x:c r="H70" s="211" t="str">
        <x:v>https://www.rednote.com/explore/6a587b1b000000000101d7d3</x:v>
      </x:c>
      <x:c r="I70" s="211" t="str">
        <x:v>单条内容页</x:v>
      </x:c>
      <x:c r="J70" s="211" t="str">
        <x:v>搜索卡片可见点赞</x:v>
      </x:c>
      <x:c r="K70" s="211" t="str">
        <x:v>1</x:v>
      </x:c>
      <x:c r="L70" s="217" t="str">
        <x:v>名创优品99-65买到了！</x:v>
      </x:c>
      <x:c r="M70" s="217" t="str">
        <x:v>未读取评论；仅按公开标题/摘要编码</x:v>
      </x:c>
      <x:c r="N70" s="211" t="str">
        <x:v>中性</x:v>
      </x:c>
      <x:c r="O70" s="211" t="str">
        <x:v>购买中</x:v>
      </x:c>
      <x:c r="P70" s="211" t="str">
        <x:v>促销与价格</x:v>
      </x:c>
      <x:c r="Q70" s="211" t="str">
        <x:v>促销门槛与价格敏感</x:v>
      </x:c>
      <x:c r="R70" s="223" t="str">
        <x:v>2</x:v>
      </x:c>
      <x:c r="S70" s="211" t="str">
        <x:v>高</x:v>
      </x:c>
      <x:c r="T70" s="217" t="str">
        <x:v>促销规则模拟器与可解释凑单方案</x:v>
      </x:c>
      <x:c r="U70" s="211" t="str">
        <x:v>B-搜索结果卡片</x:v>
      </x:c>
      <x:c r="V70" s="211" t="str">
        <x:v>是</x:v>
      </x:c>
      <x:c r="W70" s="211" t="str">
        <x:v>2026-07-18</x:v>
      </x:c>
    </x:row>
    <x:row r="71">
      <x:c r="A71" s="211" t="str">
        <x:v>xhs-6a38f226000000002100a81a</x:v>
      </x:c>
      <x:c r="B71" s="211" t="str">
        <x:v>小红书</x:v>
      </x:c>
      <x:c r="C71" s="211" t="str">
        <x:v>中国</x:v>
      </x:c>
      <x:c r="D71" s="211" t="str">
        <x:v>中文</x:v>
      </x:c>
      <x:c r="E71" s="211" t="str">
        <x:v>MINISO名创优品</x:v>
      </x:c>
      <x:c r="F71" s="211" t="str">
        <x:v>06-22</x:v>
      </x:c>
      <x:c r="G71" s="217" t="str">
        <x:v>竖起耳朵听！太神奇了……</x:v>
      </x:c>
      <x:c r="H71" s="211" t="str">
        <x:v>https://www.rednote.com/explore/6a38f226000000002100a81a</x:v>
      </x:c>
      <x:c r="I71" s="211" t="str">
        <x:v>单条内容页</x:v>
      </x:c>
      <x:c r="J71" s="211" t="str">
        <x:v>搜索卡片可见点赞</x:v>
      </x:c>
      <x:c r="K71" s="211" t="str">
        <x:v>26000</x:v>
      </x:c>
      <x:c r="L71" s="217" t="str">
        <x:v>竖起耳朵听！太神奇了……</x:v>
      </x:c>
      <x:c r="M71" s="217" t="str">
        <x:v>未读取评论；仅按公开标题/摘要编码</x:v>
      </x:c>
      <x:c r="N71" s="211" t="str">
        <x:v>中性</x:v>
      </x:c>
      <x:c r="O71" s="211" t="str">
        <x:v>发现/比较</x:v>
      </x:c>
      <x:c r="P71" s="211" t="str">
        <x:v>综合/其他</x:v>
      </x:c>
      <x:c r="Q71" s="211" t="str">
        <x:v>产品发现与购买决策</x:v>
      </x:c>
      <x:c r="R71" s="223" t="str">
        <x:v>2</x:v>
      </x:c>
      <x:c r="S71" s="211" t="str">
        <x:v>中</x:v>
      </x:c>
      <x:c r="T71" s="217" t="str">
        <x:v>高频任务型单品池与复购验证</x:v>
      </x:c>
      <x:c r="U71" s="211" t="str">
        <x:v>B-搜索结果卡片</x:v>
      </x:c>
      <x:c r="V71" s="211" t="str">
        <x:v>是</x:v>
      </x:c>
      <x:c r="W71" s="211" t="str">
        <x:v>2026-07-18</x:v>
      </x:c>
    </x:row>
    <x:row r="72">
      <x:c r="A72" s="211" t="str">
        <x:v>xhs-6a58ade0000000000f01c800</x:v>
      </x:c>
      <x:c r="B72" s="211" t="str">
        <x:v>小红书</x:v>
      </x:c>
      <x:c r="C72" s="211" t="str">
        <x:v>中国</x:v>
      </x:c>
      <x:c r="D72" s="211" t="str">
        <x:v>中文</x:v>
      </x:c>
      <x:c r="E72" s="211" t="str">
        <x:v>香香薯饼（省钱版）</x:v>
      </x:c>
      <x:c r="F72" s="211" t="str">
        <x:v>1天前</x:v>
      </x:c>
      <x:c r="G72" s="217" t="str">
        <x:v>名创优品今天99-40啦😃</x:v>
      </x:c>
      <x:c r="H72" s="211" t="str">
        <x:v>https://www.rednote.com/explore/6a58ade0000000000f01c800</x:v>
      </x:c>
      <x:c r="I72" s="211" t="str">
        <x:v>单条内容页</x:v>
      </x:c>
      <x:c r="J72" s="211" t="str">
        <x:v>搜索卡片可见点赞</x:v>
      </x:c>
      <x:c r="K72" s="211" t="str"/>
      <x:c r="L72" s="217" t="str">
        <x:v>名创优品今天99-40啦😃</x:v>
      </x:c>
      <x:c r="M72" s="217" t="str">
        <x:v>未读取评论；仅按公开标题/摘要编码</x:v>
      </x:c>
      <x:c r="N72" s="211" t="str">
        <x:v>中性</x:v>
      </x:c>
      <x:c r="O72" s="211" t="str">
        <x:v>购买中</x:v>
      </x:c>
      <x:c r="P72" s="211" t="str">
        <x:v>促销与价格</x:v>
      </x:c>
      <x:c r="Q72" s="211" t="str">
        <x:v>促销门槛与价格敏感</x:v>
      </x:c>
      <x:c r="R72" s="223" t="str">
        <x:v>2</x:v>
      </x:c>
      <x:c r="S72" s="211" t="str">
        <x:v>高</x:v>
      </x:c>
      <x:c r="T72" s="217" t="str">
        <x:v>促销规则模拟器与可解释凑单方案</x:v>
      </x:c>
      <x:c r="U72" s="211" t="str">
        <x:v>B-搜索结果卡片</x:v>
      </x:c>
      <x:c r="V72" s="211" t="str">
        <x:v>是</x:v>
      </x:c>
      <x:c r="W72" s="211" t="str">
        <x:v>2026-07-18</x:v>
      </x:c>
    </x:row>
    <x:row r="73">
      <x:c r="A73" s="211" t="str">
        <x:v>xhs-6a59c3e300000000050384d6</x:v>
      </x:c>
      <x:c r="B73" s="211" t="str">
        <x:v>小红书</x:v>
      </x:c>
      <x:c r="C73" s="211" t="str">
        <x:v>中国</x:v>
      </x:c>
      <x:c r="D73" s="211" t="str">
        <x:v>中文</x:v>
      </x:c>
      <x:c r="E73" s="211" t="str">
        <x:v>抠门富婆小p（攻略版）</x:v>
      </x:c>
      <x:c r="F73" s="211" t="str">
        <x:v>昨天 13:55</x:v>
      </x:c>
      <x:c r="G73" s="217" t="str">
        <x:v>名创优品99-40(已回购5次)</x:v>
      </x:c>
      <x:c r="H73" s="211" t="str">
        <x:v>https://www.rednote.com/explore/6a59c3e300000000050384d6</x:v>
      </x:c>
      <x:c r="I73" s="211" t="str">
        <x:v>单条内容页</x:v>
      </x:c>
      <x:c r="J73" s="211" t="str">
        <x:v>搜索卡片可见点赞</x:v>
      </x:c>
      <x:c r="K73" s="211" t="str"/>
      <x:c r="L73" s="217" t="str">
        <x:v>名创优品99-40(已回购5次)</x:v>
      </x:c>
      <x:c r="M73" s="217" t="str">
        <x:v>未读取评论；仅按公开标题/摘要编码</x:v>
      </x:c>
      <x:c r="N73" s="211" t="str">
        <x:v>正向</x:v>
      </x:c>
      <x:c r="O73" s="211" t="str">
        <x:v>购买中</x:v>
      </x:c>
      <x:c r="P73" s="211" t="str">
        <x:v>生活日用</x:v>
      </x:c>
      <x:c r="Q73" s="211" t="str">
        <x:v>促销门槛与价格敏感</x:v>
      </x:c>
      <x:c r="R73" s="223" t="str">
        <x:v>2</x:v>
      </x:c>
      <x:c r="S73" s="211" t="str">
        <x:v>高</x:v>
      </x:c>
      <x:c r="T73" s="217" t="str">
        <x:v>促销规则模拟器与可解释凑单方案</x:v>
      </x:c>
      <x:c r="U73" s="211" t="str">
        <x:v>B-搜索结果卡片</x:v>
      </x:c>
      <x:c r="V73" s="211" t="str">
        <x:v>是</x:v>
      </x:c>
      <x:c r="W73" s="211" t="str">
        <x:v>2026-07-18</x:v>
      </x:c>
    </x:row>
    <x:row r="74">
      <x:c r="A74" s="211" t="str">
        <x:v>xhs-6a59a96600000000140050b0</x:v>
      </x:c>
      <x:c r="B74" s="211" t="str">
        <x:v>小红书</x:v>
      </x:c>
      <x:c r="C74" s="211" t="str">
        <x:v>中国</x:v>
      </x:c>
      <x:c r="D74" s="211" t="str">
        <x:v>中文</x:v>
      </x:c>
      <x:c r="E74" s="211" t="str">
        <x:v>成为瘦子的一天</x:v>
      </x:c>
      <x:c r="F74" s="211" t="str">
        <x:v>昨天 12:02</x:v>
      </x:c>
      <x:c r="G74" s="217" t="str">
        <x:v>名创优品返场啦‼️99-65无套路，支招！</x:v>
      </x:c>
      <x:c r="H74" s="211" t="str">
        <x:v>https://www.rednote.com/explore/6a59a96600000000140050b0</x:v>
      </x:c>
      <x:c r="I74" s="211" t="str">
        <x:v>单条内容页</x:v>
      </x:c>
      <x:c r="J74" s="211" t="str">
        <x:v>搜索卡片可见点赞</x:v>
      </x:c>
      <x:c r="K74" s="211" t="str">
        <x:v>1</x:v>
      </x:c>
      <x:c r="L74" s="217" t="str">
        <x:v>名创优品返场啦‼️99-65无套路，支招！</x:v>
      </x:c>
      <x:c r="M74" s="217" t="str">
        <x:v>未读取评论；仅按公开标题/摘要编码</x:v>
      </x:c>
      <x:c r="N74" s="211" t="str">
        <x:v>中性</x:v>
      </x:c>
      <x:c r="O74" s="211" t="str">
        <x:v>购买中</x:v>
      </x:c>
      <x:c r="P74" s="211" t="str">
        <x:v>促销与价格</x:v>
      </x:c>
      <x:c r="Q74" s="211" t="str">
        <x:v>促销门槛与价格敏感</x:v>
      </x:c>
      <x:c r="R74" s="223" t="str">
        <x:v>2</x:v>
      </x:c>
      <x:c r="S74" s="211" t="str">
        <x:v>高</x:v>
      </x:c>
      <x:c r="T74" s="217" t="str">
        <x:v>促销规则模拟器与可解释凑单方案</x:v>
      </x:c>
      <x:c r="U74" s="211" t="str">
        <x:v>B-搜索结果卡片</x:v>
      </x:c>
      <x:c r="V74" s="211" t="str">
        <x:v>是</x:v>
      </x:c>
      <x:c r="W74" s="211" t="str">
        <x:v>2026-07-18</x:v>
      </x:c>
    </x:row>
    <x:row r="75">
      <x:c r="A75" s="211" t="str">
        <x:v>xhs-6a584b3500000000010328eb</x:v>
      </x:c>
      <x:c r="B75" s="211" t="str">
        <x:v>小红书</x:v>
      </x:c>
      <x:c r="C75" s="211" t="str">
        <x:v>中国</x:v>
      </x:c>
      <x:c r="D75" s="211" t="str">
        <x:v>中文</x:v>
      </x:c>
      <x:c r="E75" s="211" t="str">
        <x:v>欢米妮妮</x:v>
      </x:c>
      <x:c r="F75" s="211" t="str">
        <x:v>1天前</x:v>
      </x:c>
      <x:c r="G75" s="217" t="str">
        <x:v>名创优品99-65终于来啦❗️给女神们支招啦！</x:v>
      </x:c>
      <x:c r="H75" s="211" t="str">
        <x:v>https://www.rednote.com/explore/6a584b3500000000010328eb</x:v>
      </x:c>
      <x:c r="I75" s="211" t="str">
        <x:v>单条内容页</x:v>
      </x:c>
      <x:c r="J75" s="211" t="str">
        <x:v>搜索卡片可见点赞</x:v>
      </x:c>
      <x:c r="K75" s="211" t="str">
        <x:v>3</x:v>
      </x:c>
      <x:c r="L75" s="217" t="str">
        <x:v>名创优品99-65终于来啦❗️给女神们支招啦！</x:v>
      </x:c>
      <x:c r="M75" s="217" t="str">
        <x:v>未读取评论；仅按公开标题/摘要编码</x:v>
      </x:c>
      <x:c r="N75" s="211" t="str">
        <x:v>中性</x:v>
      </x:c>
      <x:c r="O75" s="211" t="str">
        <x:v>购买中</x:v>
      </x:c>
      <x:c r="P75" s="211" t="str">
        <x:v>促销与价格</x:v>
      </x:c>
      <x:c r="Q75" s="211" t="str">
        <x:v>促销门槛与价格敏感</x:v>
      </x:c>
      <x:c r="R75" s="223" t="str">
        <x:v>2</x:v>
      </x:c>
      <x:c r="S75" s="211" t="str">
        <x:v>高</x:v>
      </x:c>
      <x:c r="T75" s="217" t="str">
        <x:v>促销规则模拟器与可解释凑单方案</x:v>
      </x:c>
      <x:c r="U75" s="211" t="str">
        <x:v>B-搜索结果卡片</x:v>
      </x:c>
      <x:c r="V75" s="211" t="str">
        <x:v>是</x:v>
      </x:c>
      <x:c r="W75" s="211" t="str">
        <x:v>2026-07-18</x:v>
      </x:c>
    </x:row>
    <x:row r="76">
      <x:c r="A76" s="211" t="str">
        <x:v>xhs-6a5723ce0000000007023934</x:v>
      </x:c>
      <x:c r="B76" s="211" t="str">
        <x:v>小红书</x:v>
      </x:c>
      <x:c r="C76" s="211" t="str">
        <x:v>中国</x:v>
      </x:c>
      <x:c r="D76" s="211" t="str">
        <x:v>中文</x:v>
      </x:c>
      <x:c r="E76" s="211" t="str">
        <x:v>ss🥕</x:v>
      </x:c>
      <x:c r="F76" s="211" t="str">
        <x:v>2天前</x:v>
      </x:c>
      <x:c r="G76" s="217" t="str">
        <x:v>中央大街这家超大的miniso开业了</x:v>
      </x:c>
      <x:c r="H76" s="211" t="str">
        <x:v>https://www.rednote.com/explore/6a5723ce0000000007023934</x:v>
      </x:c>
      <x:c r="I76" s="211" t="str">
        <x:v>单条内容页</x:v>
      </x:c>
      <x:c r="J76" s="211" t="str">
        <x:v>搜索卡片可见点赞</x:v>
      </x:c>
      <x:c r="K76" s="211" t="str">
        <x:v>82</x:v>
      </x:c>
      <x:c r="L76" s="217" t="str">
        <x:v>中央大街这家超大的miniso开业了</x:v>
      </x:c>
      <x:c r="M76" s="217" t="str">
        <x:v>未读取评论；仅按公开标题/摘要编码</x:v>
      </x:c>
      <x:c r="N76" s="211" t="str">
        <x:v>中性</x:v>
      </x:c>
      <x:c r="O76" s="211" t="str">
        <x:v>到店体验</x:v>
      </x:c>
      <x:c r="P76" s="211" t="str">
        <x:v>门店体验</x:v>
      </x:c>
      <x:c r="Q76" s="211" t="str">
        <x:v>门店分级与逛店体验</x:v>
      </x:c>
      <x:c r="R76" s="223" t="str">
        <x:v>2</x:v>
      </x:c>
      <x:c r="S76" s="211" t="str">
        <x:v>高</x:v>
      </x:c>
      <x:c r="T76" s="217" t="str">
        <x:v>店型承诺、货盘与陈列一致性检查</x:v>
      </x:c>
      <x:c r="U76" s="211" t="str">
        <x:v>B-搜索结果卡片</x:v>
      </x:c>
      <x:c r="V76" s="211" t="str">
        <x:v>是</x:v>
      </x:c>
      <x:c r="W76" s="211" t="str">
        <x:v>2026-07-18</x:v>
      </x:c>
    </x:row>
    <x:row r="77">
      <x:c r="A77" s="211" t="str">
        <x:v>bili-BV14Q4y127jm</x:v>
      </x:c>
      <x:c r="B77" s="211" t="str">
        <x:v>哔哩哔哩</x:v>
      </x:c>
      <x:c r="C77" s="211" t="str">
        <x:v>中国</x:v>
      </x:c>
      <x:c r="D77" s="211" t="str">
        <x:v>中文</x:v>
      </x:c>
      <x:c r="E77" s="211" t="str"/>
      <x:c r="F77" s="211" t="str">
        <x:v>2021-08-11</x:v>
      </x:c>
      <x:c r="G77" s="217" t="str">
        <x:v>名创优品香水红黑榜，20就能买到香奈儿平替？</x:v>
      </x:c>
      <x:c r="H77" s="211" t="str">
        <x:v>https://www.bilibili.com/video/BV14Q4y127jm/</x:v>
      </x:c>
      <x:c r="I77" s="211" t="str">
        <x:v>单条内容页</x:v>
      </x:c>
      <x:c r="J77" s="211" t="str">
        <x:v>播放量</x:v>
      </x:c>
      <x:c r="K77" s="211" t="str">
        <x:v>952000</x:v>
      </x:c>
      <x:c r="L77" s="217" t="str">
        <x:v>49.9元花香款被评价过甜；39.9元系列在瓶身质感和花果/柑橘奶香上表现突出；15元滚珠香便携。</x:v>
      </x:c>
      <x:c r="M77" s="217" t="str">
        <x:v>以价格带和香型拆分红黑榜；平替叙事有效但需避免过度承诺</x:v>
      </x:c>
      <x:c r="N77" s="211" t="str">
        <x:v>混合/待判断</x:v>
      </x:c>
      <x:c r="O77" s="211" t="str">
        <x:v>发现/比较</x:v>
      </x:c>
      <x:c r="P77" s="211" t="str">
        <x:v>香氛</x:v>
      </x:c>
      <x:c r="Q77" s="211" t="str">
        <x:v>性价比与价格锚点</x:v>
      </x:c>
      <x:c r="R77" s="223" t="str">
        <x:v>3</x:v>
      </x:c>
      <x:c r="S77" s="211" t="str">
        <x:v>高</x:v>
      </x:c>
      <x:c r="T77" s="217" t="str">
        <x:v>价格带-功能价值联合测试</x:v>
      </x:c>
      <x:c r="U77" s="211" t="str">
        <x:v>B-视频页摘要</x:v>
      </x:c>
      <x:c r="V77" s="211" t="str">
        <x:v>是</x:v>
      </x:c>
      <x:c r="W77" s="211" t="str">
        <x:v>2026-07-18</x:v>
      </x:c>
    </x:row>
    <x:row r="78">
      <x:c r="A78" s="211" t="str">
        <x:v>bili-BV114411y7dz</x:v>
      </x:c>
      <x:c r="B78" s="211" t="str">
        <x:v>哔哩哔哩</x:v>
      </x:c>
      <x:c r="C78" s="211" t="str">
        <x:v>中国</x:v>
      </x:c>
      <x:c r="D78" s="211" t="str">
        <x:v>中文</x:v>
      </x:c>
      <x:c r="E78" s="211" t="str"/>
      <x:c r="F78" s="211" t="str">
        <x:v>2019-09-06</x:v>
      </x:c>
      <x:c r="G78" s="217" t="str">
        <x:v>平民窟女孩大解放｜名创优品香水全测评</x:v>
      </x:c>
      <x:c r="H78" s="211" t="str">
        <x:v>https://www.bilibili.com/video/BV114411y7dz/</x:v>
      </x:c>
      <x:c r="I78" s="211" t="str">
        <x:v>单条内容页</x:v>
      </x:c>
      <x:c r="J78" s="211" t="str">
        <x:v>播放量</x:v>
      </x:c>
      <x:c r="K78" s="211" t="str">
        <x:v>58000</x:v>
      </x:c>
      <x:c r="L78" s="217" t="str">
        <x:v>一次性测评约40支、最高价不到40元，用户需求集中在平价香水与大牌替代。</x:v>
      </x:c>
      <x:c r="M78" s="217" t="str">
        <x:v>平价香水、全线对比和香型教育</x:v>
      </x:c>
      <x:c r="N78" s="211" t="str">
        <x:v>正向</x:v>
      </x:c>
      <x:c r="O78" s="211" t="str">
        <x:v>发现/比较</x:v>
      </x:c>
      <x:c r="P78" s="211" t="str">
        <x:v>香氛</x:v>
      </x:c>
      <x:c r="Q78" s="211" t="str">
        <x:v>性价比与价格锚点</x:v>
      </x:c>
      <x:c r="R78" s="223" t="str">
        <x:v>2</x:v>
      </x:c>
      <x:c r="S78" s="211" t="str">
        <x:v>高</x:v>
      </x:c>
      <x:c r="T78" s="217" t="str">
        <x:v>价格带-功能价值联合测试</x:v>
      </x:c>
      <x:c r="U78" s="211" t="str">
        <x:v>B-视频页摘要</x:v>
      </x:c>
      <x:c r="V78" s="211" t="str">
        <x:v>是</x:v>
      </x:c>
      <x:c r="W78" s="211" t="str">
        <x:v>2026-07-18</x:v>
      </x:c>
    </x:row>
    <x:row r="79">
      <x:c r="A79" s="211" t="str">
        <x:v>bili-BV1k9Z5BREKz</x:v>
      </x:c>
      <x:c r="B79" s="211" t="str">
        <x:v>哔哩哔哩</x:v>
      </x:c>
      <x:c r="C79" s="211" t="str">
        <x:v>中国</x:v>
      </x:c>
      <x:c r="D79" s="211" t="str">
        <x:v>中文</x:v>
      </x:c>
      <x:c r="E79" s="211" t="str"/>
      <x:c r="F79" s="211" t="str">
        <x:v>2026-02</x:v>
      </x:c>
      <x:c r="G79" s="217" t="str">
        <x:v>9.9元名创真赛大牌吗？神似5星酒店？</x:v>
      </x:c>
      <x:c r="H79" s="211" t="str">
        <x:v>https://www.bilibili.com/video/BV1k9Z5BREKz/</x:v>
      </x:c>
      <x:c r="I79" s="211" t="str">
        <x:v>单条内容页</x:v>
      </x:c>
      <x:c r="J79" s="211" t="str"/>
      <x:c r="K79" s="211" t="str"/>
      <x:c r="L79" s="217" t="str">
        <x:v>15款名创香水深度测评，以9.9元和酒店香/大牌平替作为点击锚点。</x:v>
      </x:c>
      <x:c r="M79" s="217" t="str">
        <x:v>低价试错、场景香型、相似度验证</x:v>
      </x:c>
      <x:c r="N79" s="211" t="str">
        <x:v>混合/待判断</x:v>
      </x:c>
      <x:c r="O79" s="211" t="str">
        <x:v>发现/比较</x:v>
      </x:c>
      <x:c r="P79" s="211" t="str">
        <x:v>香氛</x:v>
      </x:c>
      <x:c r="Q79" s="211" t="str">
        <x:v>香型偏好与预期管理</x:v>
      </x:c>
      <x:c r="R79" s="223" t="str">
        <x:v>3</x:v>
      </x:c>
      <x:c r="S79" s="211" t="str">
        <x:v>高</x:v>
      </x:c>
      <x:c r="T79" s="217" t="str">
        <x:v>香型描述标准化与小样/试闻验证</x:v>
      </x:c>
      <x:c r="U79" s="211" t="str">
        <x:v>C-搜索摘要</x:v>
      </x:c>
      <x:c r="V79" s="211" t="str">
        <x:v>是</x:v>
      </x:c>
      <x:c r="W79" s="211" t="str">
        <x:v>2026-07-18</x:v>
      </x:c>
    </x:row>
    <x:row r="80">
      <x:c r="A80" s="211" t="str">
        <x:v>bili-BV1VrY9enEmH</x:v>
      </x:c>
      <x:c r="B80" s="211" t="str">
        <x:v>哔哩哔哩</x:v>
      </x:c>
      <x:c r="C80" s="211" t="str">
        <x:v>中国</x:v>
      </x:c>
      <x:c r="D80" s="211" t="str">
        <x:v>中文</x:v>
      </x:c>
      <x:c r="E80" s="211" t="str"/>
      <x:c r="F80" s="211" t="str">
        <x:v>2024</x:v>
      </x:c>
      <x:c r="G80" s="217" t="str">
        <x:v>名创优品家的无火香薰很主观的测评</x:v>
      </x:c>
      <x:c r="H80" s="211" t="str">
        <x:v>https://www.bilibili.com/video/BV1VrY9enEmH/</x:v>
      </x:c>
      <x:c r="I80" s="211" t="str">
        <x:v>单条内容页</x:v>
      </x:c>
      <x:c r="J80" s="211" t="str"/>
      <x:c r="K80" s="211" t="str"/>
      <x:c r="L80" s="217" t="str">
        <x:v>无火香薰主观测评，说明香氛品类需要标准化描述同时保留主观差异。</x:v>
      </x:c>
      <x:c r="M80" s="217" t="str">
        <x:v>香型主观性、扩香和持久度</x:v>
      </x:c>
      <x:c r="N80" s="211" t="str">
        <x:v>混合/待判断</x:v>
      </x:c>
      <x:c r="O80" s="211" t="str">
        <x:v>发现/比较</x:v>
      </x:c>
      <x:c r="P80" s="211" t="str">
        <x:v>香氛</x:v>
      </x:c>
      <x:c r="Q80" s="211" t="str">
        <x:v>香型偏好与预期管理</x:v>
      </x:c>
      <x:c r="R80" s="223" t="str">
        <x:v>3</x:v>
      </x:c>
      <x:c r="S80" s="211" t="str">
        <x:v>高</x:v>
      </x:c>
      <x:c r="T80" s="217" t="str">
        <x:v>香型描述标准化与小样/试闻验证</x:v>
      </x:c>
      <x:c r="U80" s="211" t="str">
        <x:v>C-搜索摘要</x:v>
      </x:c>
      <x:c r="V80" s="211" t="str">
        <x:v>是</x:v>
      </x:c>
      <x:c r="W80" s="211" t="str">
        <x:v>2026-07-18</x:v>
      </x:c>
    </x:row>
    <x:row r="81">
      <x:c r="A81" s="211" t="str">
        <x:v>bili-BV1nx411j78T</x:v>
      </x:c>
      <x:c r="B81" s="211" t="str">
        <x:v>哔哩哔哩</x:v>
      </x:c>
      <x:c r="C81" s="211" t="str">
        <x:v>中国</x:v>
      </x:c>
      <x:c r="D81" s="211" t="str">
        <x:v>中文</x:v>
      </x:c>
      <x:c r="E81" s="211" t="str"/>
      <x:c r="F81" s="211" t="str">
        <x:v>2017-11-05</x:v>
      </x:c>
      <x:c r="G81" s="217" t="str">
        <x:v>测评｜名创优品的护肤品能不能用？</x:v>
      </x:c>
      <x:c r="H81" s="211" t="str">
        <x:v>https://www.bilibili.com/video/BV1nx411j78T/</x:v>
      </x:c>
      <x:c r="I81" s="211" t="str">
        <x:v>单条内容页</x:v>
      </x:c>
      <x:c r="J81" s="211" t="str">
        <x:v>播放量</x:v>
      </x:c>
      <x:c r="K81" s="211" t="str">
        <x:v>147000</x:v>
      </x:c>
      <x:c r="L81" s="217" t="str">
        <x:v>一次买十余款护肤品，结论是未发现明显高价值单品，提醒低价不等于有效。</x:v>
      </x:c>
      <x:c r="M81" s="217" t="str">
        <x:v>配方、功效、敏感肌安全与低价预期</x:v>
      </x:c>
      <x:c r="N81" s="211" t="str">
        <x:v>负向</x:v>
      </x:c>
      <x:c r="O81" s="211" t="str">
        <x:v>发现/比较</x:v>
      </x:c>
      <x:c r="P81" s="211" t="str">
        <x:v>彩妆个护</x:v>
      </x:c>
      <x:c r="Q81" s="211" t="str">
        <x:v>效果、色号与新手友好</x:v>
      </x:c>
      <x:c r="R81" s="223" t="str">
        <x:v>4</x:v>
      </x:c>
      <x:c r="S81" s="211" t="str">
        <x:v>高</x:v>
      </x:c>
      <x:c r="T81" s="217" t="str">
        <x:v>色号、肤质与新手任务场景共创</x:v>
      </x:c>
      <x:c r="U81" s="211" t="str">
        <x:v>B-视频页摘要</x:v>
      </x:c>
      <x:c r="V81" s="211" t="str">
        <x:v>是</x:v>
      </x:c>
      <x:c r="W81" s="211" t="str">
        <x:v>2026-07-18</x:v>
      </x:c>
    </x:row>
    <x:row r="82">
      <x:c r="A82" s="211" t="str">
        <x:v>bili-BV1ZPN7z3Ep7</x:v>
      </x:c>
      <x:c r="B82" s="211" t="str">
        <x:v>哔哩哔哩</x:v>
      </x:c>
      <x:c r="C82" s="211" t="str">
        <x:v>中国</x:v>
      </x:c>
      <x:c r="D82" s="211" t="str">
        <x:v>中文</x:v>
      </x:c>
      <x:c r="E82" s="211" t="str"/>
      <x:c r="F82" s="211" t="str">
        <x:v>2025-06-18</x:v>
      </x:c>
      <x:c r="G82" s="217" t="str">
        <x:v>做这样的周边可以但没必要……</x:v>
      </x:c>
      <x:c r="H82" s="211" t="str">
        <x:v>https://www.bilibili.com/video/BV1ZPN7z3Ep7/</x:v>
      </x:c>
      <x:c r="I82" s="211" t="str">
        <x:v>单条内容页</x:v>
      </x:c>
      <x:c r="J82" s="211" t="str">
        <x:v>播放量</x:v>
      </x:c>
      <x:c r="K82" s="211" t="str">
        <x:v>113000</x:v>
      </x:c>
      <x:c r="L82" s="217" t="str">
        <x:v>名侦探柯南联名发光盲盒的功能设计造成意外惊吓，被评价为没有必要。</x:v>
      </x:c>
      <x:c r="M82" s="217" t="str">
        <x:v>功能惊喜变成负面体验；联名功能必须符合角色和安全预期</x:v>
      </x:c>
      <x:c r="N82" s="211" t="str">
        <x:v>负向</x:v>
      </x:c>
      <x:c r="O82" s="211" t="str">
        <x:v>发现/比较</x:v>
      </x:c>
      <x:c r="P82" s="211" t="str">
        <x:v>IP潮玩</x:v>
      </x:c>
      <x:c r="Q82" s="211" t="str">
        <x:v>角色偏好与IP情绪价值</x:v>
      </x:c>
      <x:c r="R82" s="223" t="str">
        <x:v>4</x:v>
      </x:c>
      <x:c r="S82" s="211" t="str">
        <x:v>高</x:v>
      </x:c>
      <x:c r="T82" s="217" t="str">
        <x:v>按角色而非系列预测需求</x:v>
      </x:c>
      <x:c r="U82" s="211" t="str">
        <x:v>B-视频页摘要</x:v>
      </x:c>
      <x:c r="V82" s="211" t="str">
        <x:v>是</x:v>
      </x:c>
      <x:c r="W82" s="211" t="str">
        <x:v>2026-07-18</x:v>
      </x:c>
    </x:row>
    <x:row r="83">
      <x:c r="A83" s="211" t="str">
        <x:v>bili-BV1KE411q7CG</x:v>
      </x:c>
      <x:c r="B83" s="211" t="str">
        <x:v>哔哩哔哩</x:v>
      </x:c>
      <x:c r="C83" s="211" t="str">
        <x:v>中国</x:v>
      </x:c>
      <x:c r="D83" s="211" t="str">
        <x:v>中文</x:v>
      </x:c>
      <x:c r="E83" s="211" t="str"/>
      <x:c r="F83" s="211" t="str">
        <x:v>2019-11-07</x:v>
      </x:c>
      <x:c r="G83" s="217" t="str">
        <x:v>名创优品芝麻街联名盲盒开箱</x:v>
      </x:c>
      <x:c r="H83" s="211" t="str">
        <x:v>https://www.bilibili.com/video/BV1KE411q7CG/</x:v>
      </x:c>
      <x:c r="I83" s="211" t="str">
        <x:v>单条内容页</x:v>
      </x:c>
      <x:c r="J83" s="211" t="str">
        <x:v>播放量</x:v>
      </x:c>
      <x:c r="K83" s="211" t="str">
        <x:v>1661</x:v>
      </x:c>
      <x:c r="L83" s="217" t="str">
        <x:v>开箱者认为该联名盲盒外观与质量不错。</x:v>
      </x:c>
      <x:c r="M83" s="217" t="str">
        <x:v>联名吸引与做工正反馈</x:v>
      </x:c>
      <x:c r="N83" s="211" t="str">
        <x:v>正向</x:v>
      </x:c>
      <x:c r="O83" s="211" t="str">
        <x:v>使用后/售后</x:v>
      </x:c>
      <x:c r="P83" s="211" t="str">
        <x:v>IP潮玩</x:v>
      </x:c>
      <x:c r="Q83" s="211" t="str">
        <x:v>质量与耐用性</x:v>
      </x:c>
      <x:c r="R83" s="223" t="str">
        <x:v>2</x:v>
      </x:c>
      <x:c r="S83" s="211" t="str">
        <x:v>高</x:v>
      </x:c>
      <x:c r="T83" s="217" t="str">
        <x:v>高风险SKU质量红线与上市前压力测试</x:v>
      </x:c>
      <x:c r="U83" s="211" t="str">
        <x:v>B-视频页摘要</x:v>
      </x:c>
      <x:c r="V83" s="211" t="str">
        <x:v>是</x:v>
      </x:c>
      <x:c r="W83" s="211" t="str">
        <x:v>2026-07-18</x:v>
      </x:c>
    </x:row>
    <x:row r="84">
      <x:c r="A84" s="211" t="str">
        <x:v>bili-BV1BXR1YiENr</x:v>
      </x:c>
      <x:c r="B84" s="211" t="str">
        <x:v>哔哩哔哩</x:v>
      </x:c>
      <x:c r="C84" s="211" t="str">
        <x:v>中国</x:v>
      </x:c>
      <x:c r="D84" s="211" t="str">
        <x:v>中文</x:v>
      </x:c>
      <x:c r="E84" s="211" t="str"/>
      <x:c r="F84" s="211" t="str">
        <x:v>2025-04-07</x:v>
      </x:c>
      <x:c r="G84" s="217" t="str">
        <x:v>183.9元端盒带走史迪仔复古邮票盲盒</x:v>
      </x:c>
      <x:c r="H84" s="211" t="str">
        <x:v>https://www.bilibili.com/video/BV1BXR1YiENr/</x:v>
      </x:c>
      <x:c r="I84" s="211" t="str">
        <x:v>单条内容页</x:v>
      </x:c>
      <x:c r="J84" s="211" t="str">
        <x:v>播放量</x:v>
      </x:c>
      <x:c r="K84" s="211" t="str">
        <x:v>23</x:v>
      </x:c>
      <x:c r="L84" s="217" t="str">
        <x:v>6个不重复并含隐藏款，传播点是端盒价格、创意造型和礼赠场景。</x:v>
      </x:c>
      <x:c r="M84" s="217" t="str">
        <x:v>低互动推广型内容；端盒价格和不重复规则是核心</x:v>
      </x:c>
      <x:c r="N84" s="211" t="str">
        <x:v>正向</x:v>
      </x:c>
      <x:c r="O84" s="211" t="str">
        <x:v>发现/比较</x:v>
      </x:c>
      <x:c r="P84" s="211" t="str">
        <x:v>IP潮玩</x:v>
      </x:c>
      <x:c r="Q84" s="211" t="str">
        <x:v>性价比与价格锚点</x:v>
      </x:c>
      <x:c r="R84" s="223" t="str">
        <x:v>2</x:v>
      </x:c>
      <x:c r="S84" s="211" t="str">
        <x:v>高</x:v>
      </x:c>
      <x:c r="T84" s="217" t="str">
        <x:v>价格带-功能价值联合测试</x:v>
      </x:c>
      <x:c r="U84" s="211" t="str">
        <x:v>C-低互动视频摘要</x:v>
      </x:c>
      <x:c r="V84" s="211" t="str">
        <x:v>是</x:v>
      </x:c>
      <x:c r="W84" s="211" t="str">
        <x:v>2026-07-18</x:v>
      </x:c>
    </x:row>
    <x:row r="85">
      <x:c r="A85" s="211" t="str">
        <x:v>douyin-jennie-restock</x:v>
      </x:c>
      <x:c r="B85" s="211" t="str">
        <x:v>抖音</x:v>
      </x:c>
      <x:c r="C85" s="211" t="str">
        <x:v>中国</x:v>
      </x:c>
      <x:c r="D85" s="211" t="str">
        <x:v>中文</x:v>
      </x:c>
      <x:c r="E85" s="211" t="str"/>
      <x:c r="F85" s="211" t="str">
        <x:v>2026-03-27</x:v>
      </x:c>
      <x:c r="G85" s="217" t="str">
        <x:v>Jennie联名补货时间</x:v>
      </x:c>
      <x:c r="H85" s="211" t="str">
        <x:v>https://www.douyin.com/shipin/7621730411631085608</x:v>
      </x:c>
      <x:c r="I85" s="211" t="str">
        <x:v>主题/聚合页含相关视频</x:v>
      </x:c>
      <x:c r="J85" s="211" t="str">
        <x:v>点赞</x:v>
      </x:c>
      <x:c r="K85" s="211" t="str">
        <x:v>195</x:v>
      </x:c>
      <x:c r="L85" s="217" t="str">
        <x:v>广州补货、代购和开箱信息；消费者在15分钟选购窗口内先抢后看。</x:v>
      </x:c>
      <x:c r="M85" s="217" t="str">
        <x:v>热门款缺货、排队、代购、补货日期和快速决策压力</x:v>
      </x:c>
      <x:c r="N85" s="211" t="str">
        <x:v>混合/待判断</x:v>
      </x:c>
      <x:c r="O85" s="211" t="str">
        <x:v>购买前/到店</x:v>
      </x:c>
      <x:c r="P85" s="211" t="str">
        <x:v>IP潮玩</x:v>
      </x:c>
      <x:c r="Q85" s="211" t="str">
        <x:v>可获得性与库存透明</x:v>
      </x:c>
      <x:c r="R85" s="223" t="str">
        <x:v>3</x:v>
      </x:c>
      <x:c r="S85" s="211" t="str">
        <x:v>高</x:v>
      </x:c>
      <x:c r="T85" s="217" t="str">
        <x:v>区域-门店-角色级库存热力与补货预警</x:v>
      </x:c>
      <x:c r="U85" s="211" t="str">
        <x:v>B-抖音聚合页</x:v>
      </x:c>
      <x:c r="V85" s="211" t="str">
        <x:v>是</x:v>
      </x:c>
      <x:c r="W85" s="211" t="str">
        <x:v>2026-07-18</x:v>
      </x:c>
    </x:row>
    <x:row r="86">
      <x:c r="A86" s="211" t="str">
        <x:v>douyin-jennie-tote</x:v>
      </x:c>
      <x:c r="B86" s="211" t="str">
        <x:v>抖音</x:v>
      </x:c>
      <x:c r="C86" s="211" t="str">
        <x:v>中国</x:v>
      </x:c>
      <x:c r="D86" s="211" t="str">
        <x:v>中文</x:v>
      </x:c>
      <x:c r="E86" s="211" t="str"/>
      <x:c r="F86" s="211" t="str">
        <x:v>2026-03</x:v>
      </x:c>
      <x:c r="G86" s="217" t="str">
        <x:v>Jennie联名托特包实物与断货反馈</x:v>
      </x:c>
      <x:c r="H86" s="211" t="str">
        <x:v>https://www.douyin.com/shipin/7621730411631085608</x:v>
      </x:c>
      <x:c r="I86" s="211" t="str">
        <x:v>聚合页中的相关视频，非独立URL</x:v>
      </x:c>
      <x:c r="J86" s="211" t="str">
        <x:v>相关视频可见点赞</x:v>
      </x:c>
      <x:c r="K86" s="211" t="str">
        <x:v>12000</x:v>
      </x:c>
      <x:c r="L86" s="217" t="str">
        <x:v>排队两小时一度断货；托特包40x28cm、柔软、容量大，但没有肩带。</x:v>
      </x:c>
      <x:c r="M86" s="217" t="str">
        <x:v>尺寸、容量、材质、配件缺失与断货</x:v>
      </x:c>
      <x:c r="N86" s="211" t="str">
        <x:v>混合/待判断</x:v>
      </x:c>
      <x:c r="O86" s="211" t="str">
        <x:v>购买前/到店</x:v>
      </x:c>
      <x:c r="P86" s="211" t="str">
        <x:v>IP潮玩</x:v>
      </x:c>
      <x:c r="Q86" s="211" t="str">
        <x:v>可获得性与库存透明</x:v>
      </x:c>
      <x:c r="R86" s="223" t="str">
        <x:v>3</x:v>
      </x:c>
      <x:c r="S86" s="211" t="str">
        <x:v>高</x:v>
      </x:c>
      <x:c r="T86" s="217" t="str">
        <x:v>区域-门店-角色级库存热力与补货预警</x:v>
      </x:c>
      <x:c r="U86" s="211" t="str">
        <x:v>C-聚合页摘要</x:v>
      </x:c>
      <x:c r="V86" s="211" t="str">
        <x:v>是</x:v>
      </x:c>
      <x:c r="W86" s="211" t="str">
        <x:v>2026-07-18</x:v>
      </x:c>
    </x:row>
    <x:row r="87">
      <x:c r="A87" s="211" t="str">
        <x:v>douyin-jennie-queue</x:v>
      </x:c>
      <x:c r="B87" s="211" t="str">
        <x:v>抖音</x:v>
      </x:c>
      <x:c r="C87" s="211" t="str">
        <x:v>中国</x:v>
      </x:c>
      <x:c r="D87" s="211" t="str">
        <x:v>中文</x:v>
      </x:c>
      <x:c r="E87" s="211" t="str"/>
      <x:c r="F87" s="211" t="str">
        <x:v>2026-03</x:v>
      </x:c>
      <x:c r="G87" s="217" t="str">
        <x:v>Jennie联名线下排队与15分钟选购</x:v>
      </x:c>
      <x:c r="H87" s="211" t="str">
        <x:v>https://www.douyin.com/shipin/7621730411631085608</x:v>
      </x:c>
      <x:c r="I87" s="211" t="str">
        <x:v>聚合页中的相关视频，非独立URL</x:v>
      </x:c>
      <x:c r="J87" s="211" t="str"/>
      <x:c r="K87" s="211" t="str"/>
      <x:c r="L87" s="217" t="str">
        <x:v>排队约1.5小时，热门丝巾临时补货；用户偏好大容量托特包和实用耳机包。</x:v>
      </x:c>
      <x:c r="M87" s="217" t="str">
        <x:v>排队成本、临时补货、实用性与粉丝冲动购买</x:v>
      </x:c>
      <x:c r="N87" s="211" t="str">
        <x:v>混合/待判断</x:v>
      </x:c>
      <x:c r="O87" s="211" t="str">
        <x:v>购买前/到店</x:v>
      </x:c>
      <x:c r="P87" s="211" t="str">
        <x:v>IP潮玩</x:v>
      </x:c>
      <x:c r="Q87" s="211" t="str">
        <x:v>可获得性与库存透明</x:v>
      </x:c>
      <x:c r="R87" s="223" t="str">
        <x:v>3</x:v>
      </x:c>
      <x:c r="S87" s="211" t="str">
        <x:v>高</x:v>
      </x:c>
      <x:c r="T87" s="217" t="str">
        <x:v>区域-门店-角色级库存热力与补货预警</x:v>
      </x:c>
      <x:c r="U87" s="211" t="str">
        <x:v>C-聚合页摘要</x:v>
      </x:c>
      <x:c r="V87" s="211" t="str">
        <x:v>是</x:v>
      </x:c>
      <x:c r="W87" s="211" t="str">
        <x:v>2026-07-18</x:v>
      </x:c>
    </x:row>
    <x:row r="88">
      <x:c r="A88" s="211" t="str">
        <x:v>douyin-makeup-100</x:v>
      </x:c>
      <x:c r="B88" s="211" t="str">
        <x:v>抖音</x:v>
      </x:c>
      <x:c r="C88" s="211" t="str">
        <x:v>中国</x:v>
      </x:c>
      <x:c r="D88" s="211" t="str">
        <x:v>中文</x:v>
      </x:c>
      <x:c r="E88" s="211" t="str"/>
      <x:c r="F88" s="211" t="str">
        <x:v>2025</x:v>
      </x:c>
      <x:c r="G88" s="217" t="str">
        <x:v>挑战100元名创优品全套彩妆上脸大测评</x:v>
      </x:c>
      <x:c r="H88" s="211" t="str">
        <x:v>https://www.douyin.com/topic/7637656390257035300</x:v>
      </x:c>
      <x:c r="I88" s="211" t="str">
        <x:v>主题页中的视频，非独立URL</x:v>
      </x:c>
      <x:c r="J88" s="211" t="str">
        <x:v>点赞</x:v>
      </x:c>
      <x:c r="K88" s="211" t="str">
        <x:v>1940</x:v>
      </x:c>
      <x:c r="L88" s="217" t="str">
        <x:v>用100元完成全套彩妆上脸，直接检验平价彩妆效果。</x:v>
      </x:c>
      <x:c r="M88" s="217" t="str">
        <x:v>预算约束、全套任务和上脸效果</x:v>
      </x:c>
      <x:c r="N88" s="211" t="str">
        <x:v>混合/待判断</x:v>
      </x:c>
      <x:c r="O88" s="211" t="str">
        <x:v>发现/比较</x:v>
      </x:c>
      <x:c r="P88" s="211" t="str">
        <x:v>彩妆个护</x:v>
      </x:c>
      <x:c r="Q88" s="211" t="str">
        <x:v>性价比与价格锚点</x:v>
      </x:c>
      <x:c r="R88" s="223" t="str">
        <x:v>3</x:v>
      </x:c>
      <x:c r="S88" s="211" t="str">
        <x:v>高</x:v>
      </x:c>
      <x:c r="T88" s="217" t="str">
        <x:v>价格带-功能价值联合测试</x:v>
      </x:c>
      <x:c r="U88" s="211" t="str">
        <x:v>C-主题页摘要</x:v>
      </x:c>
      <x:c r="V88" s="211" t="str">
        <x:v>是</x:v>
      </x:c>
      <x:c r="W88" s="211" t="str">
        <x:v>2026-07-18</x:v>
      </x:c>
    </x:row>
    <x:row r="89">
      <x:c r="A89" s="211" t="str">
        <x:v>douyin-makeup-blind</x:v>
      </x:c>
      <x:c r="B89" s="211" t="str">
        <x:v>抖音</x:v>
      </x:c>
      <x:c r="C89" s="211" t="str">
        <x:v>中国</x:v>
      </x:c>
      <x:c r="D89" s="211" t="str">
        <x:v>中文</x:v>
      </x:c>
      <x:c r="E89" s="211" t="str"/>
      <x:c r="F89" s="211" t="str">
        <x:v>2026</x:v>
      </x:c>
      <x:c r="G89" s="217" t="str">
        <x:v>名创优品盲买自营彩妆测评</x:v>
      </x:c>
      <x:c r="H89" s="211" t="str">
        <x:v>https://www.douyin.com/topic/7637656390257035300</x:v>
      </x:c>
      <x:c r="I89" s="211" t="str">
        <x:v>主题页中的视频，非独立URL</x:v>
      </x:c>
      <x:c r="J89" s="211" t="str">
        <x:v>点赞</x:v>
      </x:c>
      <x:c r="K89" s="211" t="str">
        <x:v>59</x:v>
      </x:c>
      <x:c r="L89" s="217" t="str">
        <x:v>不预选具体产品，盲买自营彩妆后进行真实测评。</x:v>
      </x:c>
      <x:c r="M89" s="217" t="str">
        <x:v>自营品牌信任、踩雷概率和低价试错</x:v>
      </x:c>
      <x:c r="N89" s="211" t="str">
        <x:v>混合/待判断</x:v>
      </x:c>
      <x:c r="O89" s="211" t="str">
        <x:v>发现/比较</x:v>
      </x:c>
      <x:c r="P89" s="211" t="str">
        <x:v>彩妆个护</x:v>
      </x:c>
      <x:c r="Q89" s="211" t="str">
        <x:v>效果、色号与新手友好</x:v>
      </x:c>
      <x:c r="R89" s="223" t="str">
        <x:v>3</x:v>
      </x:c>
      <x:c r="S89" s="211" t="str">
        <x:v>高</x:v>
      </x:c>
      <x:c r="T89" s="217" t="str">
        <x:v>色号、肤质与新手任务场景共创</x:v>
      </x:c>
      <x:c r="U89" s="211" t="str">
        <x:v>C-主题页摘要</x:v>
      </x:c>
      <x:c r="V89" s="211" t="str">
        <x:v>是</x:v>
      </x:c>
      <x:c r="W89" s="211" t="str">
        <x:v>2026-07-18</x:v>
      </x:c>
    </x:row>
    <x:row r="90">
      <x:c r="A90" s="211" t="str">
        <x:v>douyin-charger</x:v>
      </x:c>
      <x:c r="B90" s="211" t="str">
        <x:v>抖音</x:v>
      </x:c>
      <x:c r="C90" s="211" t="str">
        <x:v>中国</x:v>
      </x:c>
      <x:c r="D90" s="211" t="str">
        <x:v>中文</x:v>
      </x:c>
      <x:c r="E90" s="211" t="str"/>
      <x:c r="F90" s="211" t="str">
        <x:v>2024</x:v>
      </x:c>
      <x:c r="G90" s="217" t="str">
        <x:v>名创优品充电宝质量怎么样</x:v>
      </x:c>
      <x:c r="H90" s="211" t="str">
        <x:v>https://www.douyin.com/shipin/7396490448698787840</x:v>
      </x:c>
      <x:c r="I90" s="211" t="str">
        <x:v>单条内容页</x:v>
      </x:c>
      <x:c r="J90" s="211" t="str"/>
      <x:c r="K90" s="211" t="str"/>
      <x:c r="L90" s="217" t="str">
        <x:v>将名创七千猫充电宝与罗马仕10000mAh产品对比。</x:v>
      </x:c>
      <x:c r="M90" s="217" t="str">
        <x:v>容量、品牌信任与数码产品质量</x:v>
      </x:c>
      <x:c r="N90" s="211" t="str">
        <x:v>混合/待判断</x:v>
      </x:c>
      <x:c r="O90" s="211" t="str">
        <x:v>使用后/售后</x:v>
      </x:c>
      <x:c r="P90" s="211" t="str">
        <x:v>数码小电</x:v>
      </x:c>
      <x:c r="Q90" s="211" t="str">
        <x:v>质量与耐用性</x:v>
      </x:c>
      <x:c r="R90" s="223" t="str">
        <x:v>3</x:v>
      </x:c>
      <x:c r="S90" s="211" t="str">
        <x:v>高</x:v>
      </x:c>
      <x:c r="T90" s="217" t="str">
        <x:v>高风险SKU质量红线与上市前压力测试</x:v>
      </x:c>
      <x:c r="U90" s="211" t="str">
        <x:v>C-搜索摘要</x:v>
      </x:c>
      <x:c r="V90" s="211" t="str">
        <x:v>是</x:v>
      </x:c>
      <x:c r="W90" s="211" t="str">
        <x:v>2026-07-18</x:v>
      </x:c>
    </x:row>
    <x:row r="91">
      <x:c r="A91" s="211" t="str">
        <x:v>weibo-member-checkout</x:v>
      </x:c>
      <x:c r="B91" s="211" t="str">
        <x:v>微博</x:v>
      </x:c>
      <x:c r="C91" s="211" t="str">
        <x:v>中国</x:v>
      </x:c>
      <x:c r="D91" s="211" t="str">
        <x:v>中文</x:v>
      </x:c>
      <x:c r="E91" s="211" t="str"/>
      <x:c r="F91" s="211" t="str">
        <x:v>2026-06</x:v>
      </x:c>
      <x:c r="G91" s="217" t="str">
        <x:v>名创优品不是会员不能买单</x:v>
      </x:c>
      <x:c r="H91" s="211" t="str">
        <x:v>https://weibo.com/a/hot/372d3eddafd98947_0.html?type=grab</x:v>
      </x:c>
      <x:c r="I91" s="211" t="str">
        <x:v>单条内容页</x:v>
      </x:c>
      <x:c r="J91" s="211" t="str">
        <x:v>热搜页可见互动</x:v>
      </x:c>
      <x:c r="K91" s="211" t="str">
        <x:v>2159</x:v>
      </x:c>
      <x:c r="L91" s="217" t="str">
        <x:v>消费者称购买普通发夹、毛巾等也被要求注册会员，年龄较大用户操作不友好。</x:v>
      </x:c>
      <x:c r="M91" s="217" t="str">
        <x:v>结账前强制注册、规则从限量潮玩外溢到普通商品、数字门槛</x:v>
      </x:c>
      <x:c r="N91" s="211" t="str">
        <x:v>负向</x:v>
      </x:c>
      <x:c r="O91" s="211" t="str">
        <x:v>购买中</x:v>
      </x:c>
      <x:c r="P91" s="211" t="str">
        <x:v>品牌与服务</x:v>
      </x:c>
      <x:c r="Q91" s="211" t="str">
        <x:v>结账摩擦与会员规则</x:v>
      </x:c>
      <x:c r="R91" s="223" t="str">
        <x:v>4</x:v>
      </x:c>
      <x:c r="S91" s="211" t="str">
        <x:v>高</x:v>
      </x:c>
      <x:c r="T91" s="217" t="str">
        <x:v>统一会员规则并在结账前解释限制</x:v>
      </x:c>
      <x:c r="U91" s="211" t="str">
        <x:v>A-微博热搜聚合</x:v>
      </x:c>
      <x:c r="V91" s="211" t="str">
        <x:v>是</x:v>
      </x:c>
      <x:c r="W91" s="211" t="str">
        <x:v>2026-07-18</x:v>
      </x:c>
    </x:row>
    <x:row r="92">
      <x:c r="A92" s="211" t="str">
        <x:v>weibo-gender-marketing</x:v>
      </x:c>
      <x:c r="B92" s="211" t="str">
        <x:v>微博</x:v>
      </x:c>
      <x:c r="C92" s="211" t="str">
        <x:v>中国</x:v>
      </x:c>
      <x:c r="D92" s="211" t="str">
        <x:v>中文</x:v>
      </x:c>
      <x:c r="E92" s="211" t="str"/>
      <x:c r="F92" s="211" t="str">
        <x:v>2026-07</x:v>
      </x:c>
      <x:c r="G92" s="217" t="str">
        <x:v>名创优品推广视频含偷窥女性剧情引发争议</x:v>
      </x:c>
      <x:c r="H92" s="211" t="str">
        <x:v>https://weibo.com/2/detail/5320926360769318</x:v>
      </x:c>
      <x:c r="I92" s="211" t="str">
        <x:v>单条内容页</x:v>
      </x:c>
      <x:c r="J92" s="211" t="str"/>
      <x:c r="K92" s="211" t="str"/>
      <x:c r="L92" s="217" t="str">
        <x:v>推广视频将偷窥情节娱乐化，品牌下架内容并终止合作；同帖还汇总湿厕纸用语和会员争议。</x:v>
      </x:c>
      <x:c r="M92" s="217" t="str">
        <x:v>女性安全、品牌价值观、内容审核和危机响应</x:v>
      </x:c>
      <x:c r="N92" s="211" t="str">
        <x:v>负向</x:v>
      </x:c>
      <x:c r="O92" s="211" t="str">
        <x:v>购买中</x:v>
      </x:c>
      <x:c r="P92" s="211" t="str">
        <x:v>品牌与服务</x:v>
      </x:c>
      <x:c r="Q92" s="211" t="str">
        <x:v>结账摩擦与会员规则</x:v>
      </x:c>
      <x:c r="R92" s="223" t="str">
        <x:v>4</x:v>
      </x:c>
      <x:c r="S92" s="211" t="str">
        <x:v>高</x:v>
      </x:c>
      <x:c r="T92" s="217" t="str">
        <x:v>统一会员规则并在结账前解释限制</x:v>
      </x:c>
      <x:c r="U92" s="211" t="str">
        <x:v>A-微博正文</x:v>
      </x:c>
      <x:c r="V92" s="211" t="str">
        <x:v>是</x:v>
      </x:c>
      <x:c r="W92" s="211" t="str">
        <x:v>2026-07-18</x:v>
      </x:c>
    </x:row>
    <x:row r="93">
      <x:c r="A93" s="211" t="str">
        <x:v>weibo-apology-video</x:v>
      </x:c>
      <x:c r="B93" s="211" t="str">
        <x:v>微博</x:v>
      </x:c>
      <x:c r="C93" s="211" t="str">
        <x:v>中国</x:v>
      </x:c>
      <x:c r="D93" s="211" t="str">
        <x:v>中文</x:v>
      </x:c>
      <x:c r="E93" s="211" t="str"/>
      <x:c r="F93" s="211" t="str">
        <x:v>2026-07</x:v>
      </x:c>
      <x:c r="G93" s="217" t="str">
        <x:v>名创优品就合作博主低俗推广致歉</x:v>
      </x:c>
      <x:c r="H93" s="211" t="str">
        <x:v>https://weibo.com/2/detail/5320647039519948</x:v>
      </x:c>
      <x:c r="I93" s="211" t="str">
        <x:v>单条内容页</x:v>
      </x:c>
      <x:c r="J93" s="211" t="str">
        <x:v>视频播放</x:v>
      </x:c>
      <x:c r="K93" s="211" t="str">
        <x:v>415000</x:v>
      </x:c>
      <x:c r="L93" s="217" t="str">
        <x:v>大量用户公开谴责将偷窥当作娱乐桥段，要求下架并追责。</x:v>
      </x:c>
      <x:c r="M93" s="217" t="str">
        <x:v>内容安全红线与公开追责</x:v>
      </x:c>
      <x:c r="N93" s="211" t="str">
        <x:v>负向</x:v>
      </x:c>
      <x:c r="O93" s="211" t="str">
        <x:v>发现/比较</x:v>
      </x:c>
      <x:c r="P93" s="211" t="str">
        <x:v>品牌与服务</x:v>
      </x:c>
      <x:c r="Q93" s="211" t="str">
        <x:v>品牌价值观与内容审核</x:v>
      </x:c>
      <x:c r="R93" s="223" t="str">
        <x:v>4</x:v>
      </x:c>
      <x:c r="S93" s="211" t="str">
        <x:v>中</x:v>
      </x:c>
      <x:c r="T93" s="217" t="str">
        <x:v>营销内容安全审查Agent</x:v>
      </x:c>
      <x:c r="U93" s="211" t="str">
        <x:v>A-微博正文</x:v>
      </x:c>
      <x:c r="V93" s="211" t="str">
        <x:v>是</x:v>
      </x:c>
      <x:c r="W93" s="211" t="str">
        <x:v>2026-07-18</x:v>
      </x:c>
    </x:row>
    <x:row r="94">
      <x:c r="A94" s="211" t="str">
        <x:v>weibo-member-gift</x:v>
      </x:c>
      <x:c r="B94" s="211" t="str">
        <x:v>微博</x:v>
      </x:c>
      <x:c r="C94" s="211" t="str">
        <x:v>中国</x:v>
      </x:c>
      <x:c r="D94" s="211" t="str">
        <x:v>中文</x:v>
      </x:c>
      <x:c r="E94" s="211" t="str"/>
      <x:c r="F94" s="211" t="str">
        <x:v>2025-08</x:v>
      </x:c>
      <x:c r="G94" s="217" t="str">
        <x:v>时代少年团满赠物料漏掉成员形象后的致歉与换货</x:v>
      </x:c>
      <x:c r="H94" s="211" t="str">
        <x:v>https://www.weibo.com/2205447082/PETZx8sfq</x:v>
      </x:c>
      <x:c r="I94" s="211" t="str">
        <x:v>单条内容页</x:v>
      </x:c>
      <x:c r="J94" s="211" t="str"/>
      <x:c r="K94" s="211" t="str"/>
      <x:c r="L94" s="217" t="str">
        <x:v>满赠物料遗漏一名成员形象，官方致歉并提供问题赠品更换。</x:v>
      </x:c>
      <x:c r="M94" s="217" t="str">
        <x:v>粉丝对具体成员完整呈现高度敏感；赠品也需要质量/内容校验</x:v>
      </x:c>
      <x:c r="N94" s="211" t="str">
        <x:v>负向</x:v>
      </x:c>
      <x:c r="O94" s="211" t="str">
        <x:v>使用后/售后</x:v>
      </x:c>
      <x:c r="P94" s="211" t="str">
        <x:v>IP潮玩</x:v>
      </x:c>
      <x:c r="Q94" s="211" t="str">
        <x:v>质量与耐用性</x:v>
      </x:c>
      <x:c r="R94" s="223" t="str">
        <x:v>4</x:v>
      </x:c>
      <x:c r="S94" s="211" t="str">
        <x:v>高</x:v>
      </x:c>
      <x:c r="T94" s="217" t="str">
        <x:v>高风险SKU质量红线与上市前压力测试</x:v>
      </x:c>
      <x:c r="U94" s="211" t="str">
        <x:v>A-品牌微博</x:v>
      </x:c>
      <x:c r="V94" s="211" t="str">
        <x:v>是</x:v>
      </x:c>
      <x:c r="W94" s="211" t="str">
        <x:v>2026-07-18</x:v>
      </x:c>
    </x:row>
    <x:row r="95">
      <x:c r="A95" s="211" t="str">
        <x:v>weibo-chiikawa-demand</x:v>
      </x:c>
      <x:c r="B95" s="211" t="str">
        <x:v>微博</x:v>
      </x:c>
      <x:c r="C95" s="211" t="str">
        <x:v>中国</x:v>
      </x:c>
      <x:c r="D95" s="211" t="str">
        <x:v>中文</x:v>
      </x:c>
      <x:c r="E95" s="211" t="str"/>
      <x:c r="F95" s="211" t="str">
        <x:v>2025-03</x:v>
      </x:c>
      <x:c r="G95" s="217" t="str">
        <x:v>Chiikawa粉丝在品牌社媒评论区催联名</x:v>
      </x:c>
      <x:c r="H95" s="211" t="str">
        <x:v>https://weibo.com/ttarticle/p/show?id=2309405147680363119280</x:v>
      </x:c>
      <x:c r="I95" s="211" t="str">
        <x:v>单条内容页</x:v>
      </x:c>
      <x:c r="J95" s="211" t="str"/>
      <x:c r="K95" s="211" t="str"/>
      <x:c r="L95" s="217" t="str">
        <x:v>公开文章记载粉丝在小红书评论区强烈期待Chiikawa联名，品牌随后快速预热上线。</x:v>
      </x:c>
      <x:c r="M95" s="217" t="str">
        <x:v>用户主动催联名、IP热点生命周期短、角色需求需要快速响应</x:v>
      </x:c>
      <x:c r="N95" s="211" t="str">
        <x:v>正向</x:v>
      </x:c>
      <x:c r="O95" s="211" t="str">
        <x:v>发现/比较</x:v>
      </x:c>
      <x:c r="P95" s="211" t="str">
        <x:v>IP潮玩</x:v>
      </x:c>
      <x:c r="Q95" s="211" t="str">
        <x:v>角色偏好与IP情绪价值</x:v>
      </x:c>
      <x:c r="R95" s="223" t="str">
        <x:v>2</x:v>
      </x:c>
      <x:c r="S95" s="211" t="str">
        <x:v>高</x:v>
      </x:c>
      <x:c r="T95" s="217" t="str">
        <x:v>按角色而非系列预测需求</x:v>
      </x:c>
      <x:c r="U95" s="211" t="str">
        <x:v>B-社交平台文章二手引述</x:v>
      </x:c>
      <x:c r="V95" s="211" t="str">
        <x:v>是</x:v>
      </x:c>
      <x:c r="W95" s="211" t="str">
        <x:v>2026-07-18</x:v>
      </x:c>
    </x:row>
    <x:row r="96">
      <x:c r="A96" s="211" t="str">
        <x:v>weibo-ip-liked-not-product</x:v>
      </x:c>
      <x:c r="B96" s="211" t="str">
        <x:v>微博</x:v>
      </x:c>
      <x:c r="C96" s="211" t="str">
        <x:v>中国</x:v>
      </x:c>
      <x:c r="D96" s="211" t="str">
        <x:v>中文</x:v>
      </x:c>
      <x:c r="E96" s="211" t="str"/>
      <x:c r="F96" s="211" t="str">
        <x:v>2025-03</x:v>
      </x:c>
      <x:c r="G96" s="217" t="str">
        <x:v>消费者购买IP产品时喜欢的是IP而非产品本身</x:v>
      </x:c>
      <x:c r="H96" s="211" t="str">
        <x:v>https://weibo.com/ttarticle/p/show?id=2309405147680363119280</x:v>
      </x:c>
      <x:c r="I96" s="211" t="str">
        <x:v>单条内容页</x:v>
      </x:c>
      <x:c r="J96" s="211" t="str"/>
      <x:c r="K96" s="211" t="str"/>
      <x:c r="L96" s="217" t="str">
        <x:v>文章指出IP溢价和低线市场务实需求存在张力，热IP并不自动等于好产品。</x:v>
      </x:c>
      <x:c r="M96" s="217" t="str">
        <x:v>IP吸引与产品力需要拆分评估</x:v>
      </x:c>
      <x:c r="N96" s="211" t="str">
        <x:v>混合/待判断</x:v>
      </x:c>
      <x:c r="O96" s="211" t="str">
        <x:v>发现/比较</x:v>
      </x:c>
      <x:c r="P96" s="211" t="str">
        <x:v>IP潮玩</x:v>
      </x:c>
      <x:c r="Q96" s="211" t="str">
        <x:v>角色偏好与IP情绪价值</x:v>
      </x:c>
      <x:c r="R96" s="223" t="str">
        <x:v>3</x:v>
      </x:c>
      <x:c r="S96" s="211" t="str">
        <x:v>高</x:v>
      </x:c>
      <x:c r="T96" s="217" t="str">
        <x:v>按角色而非系列预测需求</x:v>
      </x:c>
      <x:c r="U96" s="211" t="str">
        <x:v>B-社交平台文章分析</x:v>
      </x:c>
      <x:c r="V96" s="211" t="str">
        <x:v>是</x:v>
      </x:c>
      <x:c r="W96" s="211" t="str">
        <x:v>2026-07-18</x:v>
      </x:c>
    </x:row>
    <x:row r="97">
      <x:c r="A97" s="211" t="str">
        <x:v>reddit-1so8vmb</x:v>
      </x:c>
      <x:c r="B97" s="211" t="str">
        <x:v>Reddit</x:v>
      </x:c>
      <x:c r="C97" s="211" t="str">
        <x:v>海外</x:v>
      </x:c>
      <x:c r="D97" s="211" t="str">
        <x:v>英文</x:v>
      </x:c>
      <x:c r="E97" s="211" t="str"/>
      <x:c r="F97" s="211" t="str">
        <x:v>2026-04-17</x:v>
      </x:c>
      <x:c r="G97" s="217" t="str">
        <x:v>The PPG Miniso blind boxes are high key trash</x:v>
      </x:c>
      <x:c r="H97" s="211" t="str">
        <x:v>https://www.reddit.com/r/blindbox/comments/1so8vmb/discussion_the_ppg_miniso_blind_boxes_are_high/</x:v>
      </x:c>
      <x:c r="I97" s="211" t="str">
        <x:v>单条内容页</x:v>
      </x:c>
      <x:c r="J97" s="211" t="str">
        <x:v>帖子赞</x:v>
      </x:c>
      <x:c r="K97" s="211" t="str">
        <x:v>23</x:v>
      </x:c>
      <x:c r="L97" s="217" t="str">
        <x:v>Powerpuff Girls毛绒盲盒面部不错，但整体缝制和结构被评价为低质量。</x:v>
      </x:c>
      <x:c r="M97" s="217" t="str">
        <x:v>实际做工不及包装/图片；角色版本偏好；价格损失感</x:v>
      </x:c>
      <x:c r="N97" s="211" t="str">
        <x:v>负向</x:v>
      </x:c>
      <x:c r="O97" s="211" t="str">
        <x:v>使用后/售后</x:v>
      </x:c>
      <x:c r="P97" s="211" t="str">
        <x:v>IP潮玩</x:v>
      </x:c>
      <x:c r="Q97" s="211" t="str">
        <x:v>质量与耐用性</x:v>
      </x:c>
      <x:c r="R97" s="223" t="str">
        <x:v>4</x:v>
      </x:c>
      <x:c r="S97" s="211" t="str">
        <x:v>高</x:v>
      </x:c>
      <x:c r="T97" s="217" t="str">
        <x:v>高风险SKU质量红线与上市前压力测试</x:v>
      </x:c>
      <x:c r="U97" s="211" t="str">
        <x:v>A-帖子及公开评论</x:v>
      </x:c>
      <x:c r="V97" s="211" t="str">
        <x:v>是</x:v>
      </x:c>
      <x:c r="W97" s="211" t="str">
        <x:v>2026-07-18</x:v>
      </x:c>
    </x:row>
    <x:row r="98">
      <x:c r="A98" s="211" t="str">
        <x:v>reddit-1my4sif</x:v>
      </x:c>
      <x:c r="B98" s="211" t="str">
        <x:v>Reddit</x:v>
      </x:c>
      <x:c r="C98" s="211" t="str">
        <x:v>海外</x:v>
      </x:c>
      <x:c r="D98" s="211" t="str">
        <x:v>英文</x:v>
      </x:c>
      <x:c r="E98" s="211" t="str"/>
      <x:c r="F98" s="211" t="str">
        <x:v>2025-08-23</x:v>
      </x:c>
      <x:c r="G98" s="217" t="str">
        <x:v>Disappointed with Miniso blind boxes</x:v>
      </x:c>
      <x:c r="H98" s="211" t="str">
        <x:v>https://www.reddit.com/r/MINISO/comments/1my4sif/disappointed/</x:v>
      </x:c>
      <x:c r="I98" s="211" t="str">
        <x:v>单条内容页</x:v>
      </x:c>
      <x:c r="J98" s="211" t="str">
        <x:v>帖子赞</x:v>
      </x:c>
      <x:c r="K98" s="211" t="str">
        <x:v>46</x:v>
      </x:c>
      <x:c r="L98" s="217" t="str">
        <x:v>两盒税后54美元，成品质感像快餐玩具；包装和线上图片显得更高级。</x:v>
      </x:c>
      <x:c r="M98" s="217" t="str">
        <x:v>价格-质量错配、开盒后不可退、破损换货不确定</x:v>
      </x:c>
      <x:c r="N98" s="211" t="str">
        <x:v>负向</x:v>
      </x:c>
      <x:c r="O98" s="211" t="str">
        <x:v>使用后/售后</x:v>
      </x:c>
      <x:c r="P98" s="211" t="str">
        <x:v>IP潮玩</x:v>
      </x:c>
      <x:c r="Q98" s="211" t="str">
        <x:v>质量与耐用性</x:v>
      </x:c>
      <x:c r="R98" s="223" t="str">
        <x:v>4</x:v>
      </x:c>
      <x:c r="S98" s="211" t="str">
        <x:v>高</x:v>
      </x:c>
      <x:c r="T98" s="217" t="str">
        <x:v>高风险SKU质量红线与上市前压力测试</x:v>
      </x:c>
      <x:c r="U98" s="211" t="str">
        <x:v>A-帖子及公开评论</x:v>
      </x:c>
      <x:c r="V98" s="211" t="str">
        <x:v>是</x:v>
      </x:c>
      <x:c r="W98" s="211" t="str">
        <x:v>2026-07-18</x:v>
      </x:c>
    </x:row>
    <x:row r="99">
      <x:c r="A99" s="211" t="str">
        <x:v>reddit-1jz1qt5</x:v>
      </x:c>
      <x:c r="B99" s="211" t="str">
        <x:v>Reddit</x:v>
      </x:c>
      <x:c r="C99" s="211" t="str">
        <x:v>海外</x:v>
      </x:c>
      <x:c r="D99" s="211" t="str">
        <x:v>英文</x:v>
      </x:c>
      <x:c r="E99" s="211" t="str"/>
      <x:c r="F99" s="211" t="str">
        <x:v>2025-04-14</x:v>
      </x:c>
      <x:c r="G99" s="217" t="str">
        <x:v>I bought a fake blind box in store</x:v>
      </x:c>
      <x:c r="H99" s="211" t="str">
        <x:v>https://www.reddit.com/r/MINISO/comments/1jz1qt5</x:v>
      </x:c>
      <x:c r="I99" s="211" t="str">
        <x:v>单条内容页</x:v>
      </x:c>
      <x:c r="J99" s="211" t="str">
        <x:v>帖子赞</x:v>
      </x:c>
      <x:c r="K99" s="211" t="str">
        <x:v>44</x:v>
      </x:c>
      <x:c r="L99" s="217" t="str">
        <x:v>消费者称门店购买的Sanrio盲盒疑似假货/严重品控异常，包装有授权标但成品缺关键元素。</x:v>
      </x:c>
      <x:c r="M99" s="217" t="str">
        <x:v>真伪、包装防伪、门店责任和客服无响应</x:v>
      </x:c>
      <x:c r="N99" s="211" t="str">
        <x:v>负向</x:v>
      </x:c>
      <x:c r="O99" s="211" t="str">
        <x:v>使用后/售后</x:v>
      </x:c>
      <x:c r="P99" s="211" t="str">
        <x:v>IP潮玩</x:v>
      </x:c>
      <x:c r="Q99" s="211" t="str">
        <x:v>原创性/真伪信任</x:v>
      </x:c>
      <x:c r="R99" s="223" t="str">
        <x:v>4</x:v>
      </x:c>
      <x:c r="S99" s="211" t="str">
        <x:v>中</x:v>
      </x:c>
      <x:c r="T99" s="217" t="str">
        <x:v>包装防伪、授权标识与售后闭环</x:v>
      </x:c>
      <x:c r="U99" s="211" t="str">
        <x:v>A-帖子及公开评论</x:v>
      </x:c>
      <x:c r="V99" s="211" t="str">
        <x:v>是</x:v>
      </x:c>
      <x:c r="W99" s="211" t="str">
        <x:v>2026-07-18</x:v>
      </x:c>
    </x:row>
    <x:row r="100">
      <x:c r="A100" s="211" t="str">
        <x:v>reddit-1pp4kik</x:v>
      </x:c>
      <x:c r="B100" s="211" t="str">
        <x:v>Reddit</x:v>
      </x:c>
      <x:c r="C100" s="211" t="str">
        <x:v>海外</x:v>
      </x:c>
      <x:c r="D100" s="211" t="str">
        <x:v>英文</x:v>
      </x:c>
      <x:c r="E100" s="211" t="str"/>
      <x:c r="F100" s="211" t="str">
        <x:v>2025-12-17</x:v>
      </x:c>
      <x:c r="G100" s="217" t="str">
        <x:v>Blind box fake vs real</x:v>
      </x:c>
      <x:c r="H100" s="211" t="str">
        <x:v>https://www.reddit.com/r/MINISO/comments/1pp4kik/blind_box_fake_vs_real/</x:v>
      </x:c>
      <x:c r="I100" s="211" t="str">
        <x:v>单条内容页</x:v>
      </x:c>
      <x:c r="J100" s="211" t="str">
        <x:v>帖子赞</x:v>
      </x:c>
      <x:c r="K100" s="211" t="str">
        <x:v>2</x:v>
      </x:c>
      <x:c r="L100" s="217" t="str">
        <x:v>Stitch盲盒不同包装版本让消费者无法判断真伪。</x:v>
      </x:c>
      <x:c r="M100" s="217" t="str">
        <x:v>印刷质量、开盒拉条、防伪识别和渠道可信度</x:v>
      </x:c>
      <x:c r="N100" s="211" t="str">
        <x:v>混合/待判断</x:v>
      </x:c>
      <x:c r="O100" s="211" t="str">
        <x:v>使用后/售后</x:v>
      </x:c>
      <x:c r="P100" s="211" t="str">
        <x:v>IP潮玩</x:v>
      </x:c>
      <x:c r="Q100" s="211" t="str">
        <x:v>原创性/真伪信任</x:v>
      </x:c>
      <x:c r="R100" s="223" t="str">
        <x:v>3</x:v>
      </x:c>
      <x:c r="S100" s="211" t="str">
        <x:v>中</x:v>
      </x:c>
      <x:c r="T100" s="217" t="str">
        <x:v>包装防伪、授权标识与售后闭环</x:v>
      </x:c>
      <x:c r="U100" s="211" t="str">
        <x:v>A-帖子及公开评论</x:v>
      </x:c>
      <x:c r="V100" s="211" t="str">
        <x:v>是</x:v>
      </x:c>
      <x:c r="W100" s="211" t="str">
        <x:v>2026-07-18</x:v>
      </x:c>
    </x:row>
    <x:row r="101">
      <x:c r="A101" s="211" t="str">
        <x:v>reddit-1pgi9zb</x:v>
      </x:c>
      <x:c r="B101" s="211" t="str">
        <x:v>Reddit</x:v>
      </x:c>
      <x:c r="C101" s="211" t="str">
        <x:v>海外</x:v>
      </x:c>
      <x:c r="D101" s="211" t="str">
        <x:v>英文</x:v>
      </x:c>
      <x:c r="E101" s="211" t="str"/>
      <x:c r="F101" s="211" t="str">
        <x:v>2025-12-07</x:v>
      </x:c>
      <x:c r="G101" s="217" t="str">
        <x:v>Is she real?</x:v>
      </x:c>
      <x:c r="H101" s="211" t="str">
        <x:v>https://www.reddit.com/r/MINISO/comments/1pgi9zb/is_she_real/</x:v>
      </x:c>
      <x:c r="I101" s="211" t="str">
        <x:v>单条内容页</x:v>
      </x:c>
      <x:c r="J101" s="211" t="str">
        <x:v>帖子赞</x:v>
      </x:c>
      <x:c r="K101" s="211" t="str">
        <x:v>4</x:v>
      </x:c>
      <x:c r="L101" s="217" t="str">
        <x:v>My Melody盲盒颜色、包装与质量引发真伪判断。</x:v>
      </x:c>
      <x:c r="M101" s="217" t="str">
        <x:v>颜色一致性、正确包装和二手渠道风险</x:v>
      </x:c>
      <x:c r="N101" s="211" t="str">
        <x:v>负向</x:v>
      </x:c>
      <x:c r="O101" s="211" t="str">
        <x:v>使用后/售后</x:v>
      </x:c>
      <x:c r="P101" s="211" t="str">
        <x:v>IP潮玩</x:v>
      </x:c>
      <x:c r="Q101" s="211" t="str">
        <x:v>原创性/真伪信任</x:v>
      </x:c>
      <x:c r="R101" s="223" t="str">
        <x:v>4</x:v>
      </x:c>
      <x:c r="S101" s="211" t="str">
        <x:v>中</x:v>
      </x:c>
      <x:c r="T101" s="217" t="str">
        <x:v>包装防伪、授权标识与售后闭环</x:v>
      </x:c>
      <x:c r="U101" s="211" t="str">
        <x:v>A-帖子及公开评论</x:v>
      </x:c>
      <x:c r="V101" s="211" t="str">
        <x:v>是</x:v>
      </x:c>
      <x:c r="W101" s="211" t="str">
        <x:v>2026-07-18</x:v>
      </x:c>
    </x:row>
    <x:row r="102">
      <x:c r="A102" s="211" t="str">
        <x:v>reddit-1uujyry</x:v>
      </x:c>
      <x:c r="B102" s="211" t="str">
        <x:v>Reddit</x:v>
      </x:c>
      <x:c r="C102" s="211" t="str">
        <x:v>海外</x:v>
      </x:c>
      <x:c r="D102" s="211" t="str">
        <x:v>英文</x:v>
      </x:c>
      <x:c r="E102" s="211" t="str"/>
      <x:c r="F102" s="211" t="str">
        <x:v>2026-07-12</x:v>
      </x:c>
      <x:c r="G102" s="217" t="str">
        <x:v>Can you identify the figure in a Miniso blind box?</x:v>
      </x:c>
      <x:c r="H102" s="211" t="str">
        <x:v>https://www.reddit.com/r/MINISO/comments/1uujyry/can_you_identify_the_figure_in_a_miniso_blind_box/</x:v>
      </x:c>
      <x:c r="I102" s="211" t="str">
        <x:v>单条内容页</x:v>
      </x:c>
      <x:c r="J102" s="211" t="str">
        <x:v>帖子赞</x:v>
      </x:c>
      <x:c r="K102" s="211" t="str">
        <x:v>0</x:v>
      </x:c>
      <x:c r="L102" s="217" t="str">
        <x:v>用户想获得特定角色但不愿购买约30盒，认为价格高；评论讨论称重和二手购买。</x:v>
      </x:c>
      <x:c r="M102" s="217" t="str">
        <x:v>重复购买成本、角色定向需求、称重攻略、帽子易掉</x:v>
      </x:c>
      <x:c r="N102" s="211" t="str">
        <x:v>混合/待判断</x:v>
      </x:c>
      <x:c r="O102" s="211" t="str">
        <x:v>使用后/售后</x:v>
      </x:c>
      <x:c r="P102" s="211" t="str">
        <x:v>IP潮玩</x:v>
      </x:c>
      <x:c r="Q102" s="211" t="str">
        <x:v>质量与耐用性</x:v>
      </x:c>
      <x:c r="R102" s="223" t="str">
        <x:v>3</x:v>
      </x:c>
      <x:c r="S102" s="211" t="str">
        <x:v>高</x:v>
      </x:c>
      <x:c r="T102" s="217" t="str">
        <x:v>高风险SKU质量红线与上市前压力测试</x:v>
      </x:c>
      <x:c r="U102" s="211" t="str">
        <x:v>A-帖子及公开评论</x:v>
      </x:c>
      <x:c r="V102" s="211" t="str">
        <x:v>是</x:v>
      </x:c>
      <x:c r="W102" s="211" t="str">
        <x:v>2026-07-18</x:v>
      </x:c>
    </x:row>
    <x:row r="103">
      <x:c r="A103" s="211" t="str">
        <x:v>reddit-1s2uakh</x:v>
      </x:c>
      <x:c r="B103" s="211" t="str">
        <x:v>Reddit</x:v>
      </x:c>
      <x:c r="C103" s="211" t="str">
        <x:v>海外</x:v>
      </x:c>
      <x:c r="D103" s="211" t="str">
        <x:v>英文</x:v>
      </x:c>
      <x:c r="E103" s="211" t="str"/>
      <x:c r="F103" s="211" t="str">
        <x:v>2026-03-24</x:v>
      </x:c>
      <x:c r="G103" s="217" t="str">
        <x:v>What does Miniso sell and is it cheap?</x:v>
      </x:c>
      <x:c r="H103" s="211" t="str">
        <x:v>https://www.reddit.com/r/MINISO/comments/1s2uakh/miniso/</x:v>
      </x:c>
      <x:c r="I103" s="211" t="str">
        <x:v>单条内容页</x:v>
      </x:c>
      <x:c r="J103" s="211" t="str">
        <x:v>帖子赞</x:v>
      </x:c>
      <x:c r="K103" s="211" t="str">
        <x:v>2</x:v>
      </x:c>
      <x:c r="L103" s="217" t="str">
        <x:v>用户认为大多数品类价格合理，但盲盒偏贵；不同门店同一IP的货品完整度差异很大。</x:v>
      </x:c>
      <x:c r="M103" s="217" t="str">
        <x:v>可爱导致超预算；盲盒价格；门店货盘差异；生活日用发现</x:v>
      </x:c>
      <x:c r="N103" s="211" t="str">
        <x:v>混合/待判断</x:v>
      </x:c>
      <x:c r="O103" s="211" t="str">
        <x:v>到店体验</x:v>
      </x:c>
      <x:c r="P103" s="211" t="str">
        <x:v>门店体验</x:v>
      </x:c>
      <x:c r="Q103" s="211" t="str">
        <x:v>性价比与价格锚点</x:v>
      </x:c>
      <x:c r="R103" s="223" t="str">
        <x:v>3</x:v>
      </x:c>
      <x:c r="S103" s="211" t="str">
        <x:v>高</x:v>
      </x:c>
      <x:c r="T103" s="217" t="str">
        <x:v>价格带-功能价值联合测试</x:v>
      </x:c>
      <x:c r="U103" s="211" t="str">
        <x:v>A-帖子及公开评论</x:v>
      </x:c>
      <x:c r="V103" s="211" t="str">
        <x:v>是</x:v>
      </x:c>
      <x:c r="W103" s="211" t="str">
        <x:v>2026-07-18</x:v>
      </x:c>
    </x:row>
    <x:row r="104">
      <x:c r="A104" s="211" t="str">
        <x:v>reddit-1tftiz4</x:v>
      </x:c>
      <x:c r="B104" s="211" t="str">
        <x:v>Reddit</x:v>
      </x:c>
      <x:c r="C104" s="211" t="str">
        <x:v>海外</x:v>
      </x:c>
      <x:c r="D104" s="211" t="str">
        <x:v>英文</x:v>
      </x:c>
      <x:c r="E104" s="211" t="str"/>
      <x:c r="F104" s="211" t="str">
        <x:v>2026-05-17</x:v>
      </x:c>
      <x:c r="G104" s="217" t="str">
        <x:v>Is this real or a fake?</x:v>
      </x:c>
      <x:c r="H104" s="211" t="str">
        <x:v>https://www.reddit.com/r/MINISO/comments/1tftiz4/is_this_real_or_a_fake/</x:v>
      </x:c>
      <x:c r="I104" s="211" t="str">
        <x:v>单条内容页</x:v>
      </x:c>
      <x:c r="J104" s="211" t="str">
        <x:v>帖子赞</x:v>
      </x:c>
      <x:c r="K104" s="211" t="str">
        <x:v>8</x:v>
      </x:c>
      <x:c r="L104" s="217" t="str">
        <x:v>Scrump公仔外观和包装标签引发真假争议，评论用购买渠道、二维码贴和包装袋判断。</x:v>
      </x:c>
      <x:c r="M104" s="217" t="str">
        <x:v>防伪标识不统一、渠道教育和仓库瑕疵边界</x:v>
      </x:c>
      <x:c r="N104" s="211" t="str">
        <x:v>混合/待判断</x:v>
      </x:c>
      <x:c r="O104" s="211" t="str">
        <x:v>使用后/售后</x:v>
      </x:c>
      <x:c r="P104" s="211" t="str">
        <x:v>IP潮玩</x:v>
      </x:c>
      <x:c r="Q104" s="211" t="str">
        <x:v>原创性/真伪信任</x:v>
      </x:c>
      <x:c r="R104" s="223" t="str">
        <x:v>3</x:v>
      </x:c>
      <x:c r="S104" s="211" t="str">
        <x:v>中</x:v>
      </x:c>
      <x:c r="T104" s="217" t="str">
        <x:v>包装防伪、授权标识与售后闭环</x:v>
      </x:c>
      <x:c r="U104" s="211" t="str">
        <x:v>A-帖子及公开评论</x:v>
      </x:c>
      <x:c r="V104" s="211" t="str">
        <x:v>是</x:v>
      </x:c>
      <x:c r="W104" s="211" t="str">
        <x:v>2026-07-18</x:v>
      </x:c>
    </x:row>
    <x:row r="105">
      <x:c r="A105" s="211" t="str">
        <x:v>reddit-1ufjy58</x:v>
      </x:c>
      <x:c r="B105" s="211" t="str">
        <x:v>Reddit</x:v>
      </x:c>
      <x:c r="C105" s="211" t="str">
        <x:v>海外</x:v>
      </x:c>
      <x:c r="D105" s="211" t="str">
        <x:v>英文</x:v>
      </x:c>
      <x:c r="E105" s="211" t="str"/>
      <x:c r="F105" s="211" t="str">
        <x:v>2026-06-25</x:v>
      </x:c>
      <x:c r="G105" s="217" t="str">
        <x:v>Fake or legit Stitch?</x:v>
      </x:c>
      <x:c r="H105" s="211" t="str">
        <x:v>https://www.reddit.com/r/MINISO/comments/1ufjy58/fake_or_legit_stitch/</x:v>
      </x:c>
      <x:c r="I105" s="211" t="str">
        <x:v>单条内容页</x:v>
      </x:c>
      <x:c r="J105" s="211" t="str">
        <x:v>帖子赞</x:v>
      </x:c>
      <x:c r="K105" s="211" t="str">
        <x:v>2</x:v>
      </x:c>
      <x:c r="L105" s="217" t="str">
        <x:v>自动售货机购买的Stitch颜色偏差，用户依赖原盒和授权标识判断。</x:v>
      </x:c>
      <x:c r="M105" s="217" t="str">
        <x:v>非门店渠道、价格异常和原盒保留</x:v>
      </x:c>
      <x:c r="N105" s="211" t="str">
        <x:v>混合/待判断</x:v>
      </x:c>
      <x:c r="O105" s="211" t="str">
        <x:v>使用后/售后</x:v>
      </x:c>
      <x:c r="P105" s="211" t="str">
        <x:v>IP潮玩</x:v>
      </x:c>
      <x:c r="Q105" s="211" t="str">
        <x:v>原创性/真伪信任</x:v>
      </x:c>
      <x:c r="R105" s="223" t="str">
        <x:v>3</x:v>
      </x:c>
      <x:c r="S105" s="211" t="str">
        <x:v>中</x:v>
      </x:c>
      <x:c r="T105" s="217" t="str">
        <x:v>包装防伪、授权标识与售后闭环</x:v>
      </x:c>
      <x:c r="U105" s="211" t="str">
        <x:v>A-帖子及公开评论</x:v>
      </x:c>
      <x:c r="V105" s="211" t="str">
        <x:v>是</x:v>
      </x:c>
      <x:c r="W105" s="211" t="str">
        <x:v>2026-07-18</x:v>
      </x:c>
    </x:row>
    <x:row r="106">
      <x:c r="A106" s="211" t="str">
        <x:v>reddit-1t0jcyt</x:v>
      </x:c>
      <x:c r="B106" s="211" t="str">
        <x:v>Reddit</x:v>
      </x:c>
      <x:c r="C106" s="211" t="str">
        <x:v>海外</x:v>
      </x:c>
      <x:c r="D106" s="211" t="str">
        <x:v>英文</x:v>
      </x:c>
      <x:c r="E106" s="211" t="str"/>
      <x:c r="F106" s="211" t="str">
        <x:v>2026-05-01</x:v>
      </x:c>
      <x:c r="G106" s="217" t="str">
        <x:v>Which blind box brand has the best quality?</x:v>
      </x:c>
      <x:c r="H106" s="211" t="str">
        <x:v>https://www.reddit.com/r/PopMartCollectors/comments/1t0jcyt/which_blind_box_brand_has_the_best_quality/</x:v>
      </x:c>
      <x:c r="I106" s="211" t="str">
        <x:v>单条内容页</x:v>
      </x:c>
      <x:c r="J106" s="211" t="str">
        <x:v>帖子赞</x:v>
      </x:c>
      <x:c r="K106" s="211" t="str">
        <x:v>15</x:v>
      </x:c>
      <x:c r="L106" s="217" t="str">
        <x:v>有用户认为近期Miniso部分Sanrio盲盒很可爱且有重量感，但价格仍高。</x:v>
      </x:c>
      <x:c r="M106" s="217" t="str">
        <x:v>质量可达到正向惊喜；与Pop Mart等品牌横向比较</x:v>
      </x:c>
      <x:c r="N106" s="211" t="str">
        <x:v>正向</x:v>
      </x:c>
      <x:c r="O106" s="211" t="str">
        <x:v>使用后/售后</x:v>
      </x:c>
      <x:c r="P106" s="211" t="str">
        <x:v>IP潮玩</x:v>
      </x:c>
      <x:c r="Q106" s="211" t="str">
        <x:v>质量与耐用性</x:v>
      </x:c>
      <x:c r="R106" s="223" t="str">
        <x:v>2</x:v>
      </x:c>
      <x:c r="S106" s="211" t="str">
        <x:v>高</x:v>
      </x:c>
      <x:c r="T106" s="217" t="str">
        <x:v>高风险SKU质量红线与上市前压力测试</x:v>
      </x:c>
      <x:c r="U106" s="211" t="str">
        <x:v>A-帖子及公开评论</x:v>
      </x:c>
      <x:c r="V106" s="211" t="str">
        <x:v>是</x:v>
      </x:c>
      <x:c r="W106" s="211" t="str">
        <x:v>2026-07-18</x:v>
      </x:c>
    </x:row>
    <x:row r="107">
      <x:c r="A107" s="211" t="str">
        <x:v>reddit-1kjogi7</x:v>
      </x:c>
      <x:c r="B107" s="211" t="str">
        <x:v>Reddit</x:v>
      </x:c>
      <x:c r="C107" s="211" t="str">
        <x:v>海外</x:v>
      </x:c>
      <x:c r="D107" s="211" t="str">
        <x:v>英文</x:v>
      </x:c>
      <x:c r="E107" s="211" t="str"/>
      <x:c r="F107" s="211" t="str">
        <x:v>2025-05-11</x:v>
      </x:c>
      <x:c r="G107" s="217" t="str">
        <x:v>Blind box manufacture error</x:v>
      </x:c>
      <x:c r="H107" s="211" t="str">
        <x:v>https://www.reddit.com/r/MINISO/comments/1kjogi7</x:v>
      </x:c>
      <x:c r="I107" s="211" t="str">
        <x:v>单条内容页</x:v>
      </x:c>
      <x:c r="J107" s="211" t="str">
        <x:v>帖子赞</x:v>
      </x:c>
      <x:c r="K107" s="211" t="str">
        <x:v>35</x:v>
      </x:c>
      <x:c r="L107" s="217" t="str">
        <x:v>Baby Three随机脸部组合被误认为制造错误，后由社区解释为产品规则。</x:v>
      </x:c>
      <x:c r="M107" s="217" t="str">
        <x:v>规则说明不足会被误判为品控问题</x:v>
      </x:c>
      <x:c r="N107" s="211" t="str">
        <x:v>混合/待判断</x:v>
      </x:c>
      <x:c r="O107" s="211" t="str">
        <x:v>发现/比较</x:v>
      </x:c>
      <x:c r="P107" s="211" t="str">
        <x:v>IP潮玩</x:v>
      </x:c>
      <x:c r="Q107" s="211" t="str">
        <x:v>角色偏好与IP情绪价值</x:v>
      </x:c>
      <x:c r="R107" s="223" t="str">
        <x:v>3</x:v>
      </x:c>
      <x:c r="S107" s="211" t="str">
        <x:v>高</x:v>
      </x:c>
      <x:c r="T107" s="217" t="str">
        <x:v>按角色而非系列预测需求</x:v>
      </x:c>
      <x:c r="U107" s="211" t="str">
        <x:v>A-帖子及公开评论</x:v>
      </x:c>
      <x:c r="V107" s="211" t="str">
        <x:v>是</x:v>
      </x:c>
      <x:c r="W107" s="211" t="str">
        <x:v>2026-07-18</x:v>
      </x:c>
    </x:row>
    <x:row r="108">
      <x:c r="A108" s="211" t="str">
        <x:v>reddit-1ri69ve</x:v>
      </x:c>
      <x:c r="B108" s="211" t="str">
        <x:v>Reddit</x:v>
      </x:c>
      <x:c r="C108" s="211" t="str">
        <x:v>海外</x:v>
      </x:c>
      <x:c r="D108" s="211" t="str">
        <x:v>英文</x:v>
      </x:c>
      <x:c r="E108" s="211" t="str"/>
      <x:c r="F108" s="211" t="str">
        <x:v>2026-03</x:v>
      </x:c>
      <x:c r="G108" s="217" t="str">
        <x:v>Miniso Kuromi</x:v>
      </x:c>
      <x:c r="H108" s="211" t="str">
        <x:v>https://www.reddit.com/r/MINISO/comments/1ri69ve/miniso_kuromi/</x:v>
      </x:c>
      <x:c r="I108" s="211" t="str">
        <x:v>单条内容页</x:v>
      </x:c>
      <x:c r="J108" s="211" t="str"/>
      <x:c r="K108" s="211" t="str"/>
      <x:c r="L108" s="217" t="str">
        <x:v>用户喜欢Kuromi盲盒，但认为TopToy生产质量明显更高。</x:v>
      </x:c>
      <x:c r="M108" s="217" t="str">
        <x:v>同集团/竞品质量对比</x:v>
      </x:c>
      <x:c r="N108" s="211" t="str">
        <x:v>混合/待判断</x:v>
      </x:c>
      <x:c r="O108" s="211" t="str">
        <x:v>使用后/售后</x:v>
      </x:c>
      <x:c r="P108" s="211" t="str">
        <x:v>IP潮玩</x:v>
      </x:c>
      <x:c r="Q108" s="211" t="str">
        <x:v>质量与耐用性</x:v>
      </x:c>
      <x:c r="R108" s="223" t="str">
        <x:v>3</x:v>
      </x:c>
      <x:c r="S108" s="211" t="str">
        <x:v>高</x:v>
      </x:c>
      <x:c r="T108" s="217" t="str">
        <x:v>高风险SKU质量红线与上市前压力测试</x:v>
      </x:c>
      <x:c r="U108" s="211" t="str">
        <x:v>B-搜索摘要</x:v>
      </x:c>
      <x:c r="V108" s="211" t="str">
        <x:v>是</x:v>
      </x:c>
      <x:c r="W108" s="211" t="str">
        <x:v>2026-07-18</x:v>
      </x:c>
    </x:row>
    <x:row r="109">
      <x:c r="A109" s="211" t="str">
        <x:v>tp-2026-07-07</x:v>
      </x:c>
      <x:c r="B109" s="211" t="str">
        <x:v>Trustpilot</x:v>
      </x:c>
      <x:c r="C109" s="211" t="str">
        <x:v>海外</x:v>
      </x:c>
      <x:c r="D109" s="211" t="str">
        <x:v>英文</x:v>
      </x:c>
      <x:c r="E109" s="211" t="str"/>
      <x:c r="F109" s="211" t="str">
        <x:v>2026-07-07</x:v>
      </x:c>
      <x:c r="G109" s="217" t="str">
        <x:v>Blind box sold without explaining random/final-sale rules</x:v>
      </x:c>
      <x:c r="H109" s="211" t="str">
        <x:v>https://www.trustpilot.com/review/www.miniso.com</x:v>
      </x:c>
      <x:c r="I109" s="211" t="str">
        <x:v>单条内容页</x:v>
      </x:c>
      <x:c r="J109" s="211" t="str">
        <x:v>星级</x:v>
      </x:c>
      <x:c r="K109" s="211" t="str">
        <x:v>1</x:v>
      </x:c>
      <x:c r="L109" s="217" t="str">
        <x:v>为6岁儿童购买公主娃娃时未被告知是随机盲盒且不可退，开出形象令儿童害怕。</x:v>
      </x:c>
      <x:c r="M109" s="217" t="str">
        <x:v>导购不解释盲盒规则、年龄适配和最终销售政策</x:v>
      </x:c>
      <x:c r="N109" s="211" t="str">
        <x:v>负向</x:v>
      </x:c>
      <x:c r="O109" s="211" t="str">
        <x:v>发现/比较</x:v>
      </x:c>
      <x:c r="P109" s="211" t="str">
        <x:v>IP潮玩</x:v>
      </x:c>
      <x:c r="Q109" s="211" t="str">
        <x:v>角色偏好与IP情绪价值</x:v>
      </x:c>
      <x:c r="R109" s="223" t="str">
        <x:v>4</x:v>
      </x:c>
      <x:c r="S109" s="211" t="str">
        <x:v>高</x:v>
      </x:c>
      <x:c r="T109" s="217" t="str">
        <x:v>按角色而非系列预测需求</x:v>
      </x:c>
      <x:c r="U109" s="211" t="str">
        <x:v>A-公开评价页</x:v>
      </x:c>
      <x:c r="V109" s="211" t="str">
        <x:v>是</x:v>
      </x:c>
      <x:c r="W109" s="211" t="str">
        <x:v>2026-07-18</x:v>
      </x:c>
    </x:row>
    <x:row r="110">
      <x:c r="A110" s="211" t="str">
        <x:v>tp-2026-06-30</x:v>
      </x:c>
      <x:c r="B110" s="211" t="str">
        <x:v>Trustpilot</x:v>
      </x:c>
      <x:c r="C110" s="211" t="str">
        <x:v>海外</x:v>
      </x:c>
      <x:c r="D110" s="211" t="str">
        <x:v>英文</x:v>
      </x:c>
      <x:c r="E110" s="211" t="str"/>
      <x:c r="F110" s="211" t="str">
        <x:v>2026-06-30</x:v>
      </x:c>
      <x:c r="G110" s="217" t="str">
        <x:v>Faulty charging cord not replaced</x:v>
      </x:c>
      <x:c r="H110" s="211" t="str">
        <x:v>https://www.trustpilot.com/review/www.miniso.com</x:v>
      </x:c>
      <x:c r="I110" s="211" t="str">
        <x:v>单条内容页</x:v>
      </x:c>
      <x:c r="J110" s="211" t="str">
        <x:v>星级</x:v>
      </x:c>
      <x:c r="K110" s="211" t="str">
        <x:v>1</x:v>
      </x:c>
      <x:c r="L110" s="217" t="str">
        <x:v>长期顾客购买的充电线有一条失效，但因无盒无票被拒换。</x:v>
      </x:c>
      <x:c r="M110" s="217" t="str">
        <x:v>低价电子品故障、凭证要求和门店换货</x:v>
      </x:c>
      <x:c r="N110" s="211" t="str">
        <x:v>负向</x:v>
      </x:c>
      <x:c r="O110" s="211" t="str">
        <x:v>发现/比较</x:v>
      </x:c>
      <x:c r="P110" s="211" t="str">
        <x:v>数码小电</x:v>
      </x:c>
      <x:c r="Q110" s="211" t="str">
        <x:v>产品发现与购买决策</x:v>
      </x:c>
      <x:c r="R110" s="223" t="str">
        <x:v>4</x:v>
      </x:c>
      <x:c r="S110" s="211" t="str">
        <x:v>中</x:v>
      </x:c>
      <x:c r="T110" s="217" t="str">
        <x:v>高频任务型单品池与复购验证</x:v>
      </x:c>
      <x:c r="U110" s="211" t="str">
        <x:v>A-公开评价页</x:v>
      </x:c>
      <x:c r="V110" s="211" t="str">
        <x:v>是</x:v>
      </x:c>
      <x:c r="W110" s="211" t="str">
        <x:v>2026-07-18</x:v>
      </x:c>
    </x:row>
    <x:row r="111">
      <x:c r="A111" s="211" t="str">
        <x:v>tp-2026-06-28</x:v>
      </x:c>
      <x:c r="B111" s="211" t="str">
        <x:v>Trustpilot</x:v>
      </x:c>
      <x:c r="C111" s="211" t="str">
        <x:v>海外</x:v>
      </x:c>
      <x:c r="D111" s="211" t="str">
        <x:v>英文</x:v>
      </x:c>
      <x:c r="E111" s="211" t="str"/>
      <x:c r="F111" s="211" t="str">
        <x:v>2026-06-28</x:v>
      </x:c>
      <x:c r="G111" s="217" t="str">
        <x:v>Bottle straw fell off and bottle cracked</x:v>
      </x:c>
      <x:c r="H111" s="211" t="str">
        <x:v>https://www.trustpilot.com/review/www.miniso.com</x:v>
      </x:c>
      <x:c r="I111" s="211" t="str">
        <x:v>单条内容页</x:v>
      </x:c>
      <x:c r="J111" s="211" t="str">
        <x:v>星级</x:v>
      </x:c>
      <x:c r="K111" s="211" t="str">
        <x:v>1</x:v>
      </x:c>
      <x:c r="L111" s="217" t="str">
        <x:v>水杯购买数分钟后吸管掉落并出现裂纹，门店拒绝处理。</x:v>
      </x:c>
      <x:c r="M111" s="217" t="str">
        <x:v>结构耐用性、即时故障和责任归属</x:v>
      </x:c>
      <x:c r="N111" s="211" t="str">
        <x:v>负向</x:v>
      </x:c>
      <x:c r="O111" s="211" t="str">
        <x:v>使用后/售后</x:v>
      </x:c>
      <x:c r="P111" s="211" t="str">
        <x:v>生活日用</x:v>
      </x:c>
      <x:c r="Q111" s="211" t="str">
        <x:v>质量与耐用性</x:v>
      </x:c>
      <x:c r="R111" s="223" t="str">
        <x:v>4</x:v>
      </x:c>
      <x:c r="S111" s="211" t="str">
        <x:v>高</x:v>
      </x:c>
      <x:c r="T111" s="217" t="str">
        <x:v>高风险SKU质量红线与上市前压力测试</x:v>
      </x:c>
      <x:c r="U111" s="211" t="str">
        <x:v>A-公开评价页</x:v>
      </x:c>
      <x:c r="V111" s="211" t="str">
        <x:v>是</x:v>
      </x:c>
      <x:c r="W111" s="211" t="str">
        <x:v>2026-07-18</x:v>
      </x:c>
    </x:row>
    <x:row r="112">
      <x:c r="A112" s="211" t="str">
        <x:v>tp-2026-06-13</x:v>
      </x:c>
      <x:c r="B112" s="211" t="str">
        <x:v>Trustpilot</x:v>
      </x:c>
      <x:c r="C112" s="211" t="str">
        <x:v>海外</x:v>
      </x:c>
      <x:c r="D112" s="211" t="str">
        <x:v>英文</x:v>
      </x:c>
      <x:c r="E112" s="211" t="str"/>
      <x:c r="F112" s="211" t="str">
        <x:v>2026-06-13</x:v>
      </x:c>
      <x:c r="G112" s="217" t="str">
        <x:v>HQ turned a sour experience sweet</x:v>
      </x:c>
      <x:c r="H112" s="211" t="str">
        <x:v>https://www.trustpilot.com/review/www.miniso.com</x:v>
      </x:c>
      <x:c r="I112" s="211" t="str">
        <x:v>单条内容页</x:v>
      </x:c>
      <x:c r="J112" s="211" t="str">
        <x:v>星级</x:v>
      </x:c>
      <x:c r="K112" s="211" t="str">
        <x:v>5</x:v>
      </x:c>
      <x:c r="L112" s="217" t="str">
        <x:v>杯子7天内变形且门店拒换，总部介入后完成更换并挽回常客。</x:v>
      </x:c>
      <x:c r="M112" s="217" t="str">
        <x:v>总部补救能恢复信任，但门店执行不一致</x:v>
      </x:c>
      <x:c r="N112" s="211" t="str">
        <x:v>混合/待判断</x:v>
      </x:c>
      <x:c r="O112" s="211" t="str">
        <x:v>发现/比较</x:v>
      </x:c>
      <x:c r="P112" s="211" t="str">
        <x:v>生活日用</x:v>
      </x:c>
      <x:c r="Q112" s="211" t="str">
        <x:v>产品发现与购买决策</x:v>
      </x:c>
      <x:c r="R112" s="223" t="str">
        <x:v>3</x:v>
      </x:c>
      <x:c r="S112" s="211" t="str">
        <x:v>中</x:v>
      </x:c>
      <x:c r="T112" s="217" t="str">
        <x:v>高频任务型单品池与复购验证</x:v>
      </x:c>
      <x:c r="U112" s="211" t="str">
        <x:v>A-公开评价页</x:v>
      </x:c>
      <x:c r="V112" s="211" t="str">
        <x:v>是</x:v>
      </x:c>
      <x:c r="W112" s="211" t="str">
        <x:v>2026-07-18</x:v>
      </x:c>
    </x:row>
    <x:row r="113">
      <x:c r="A113" s="211" t="str">
        <x:v>tp-2026-06-08</x:v>
      </x:c>
      <x:c r="B113" s="211" t="str">
        <x:v>Trustpilot</x:v>
      </x:c>
      <x:c r="C113" s="211" t="str">
        <x:v>海外</x:v>
      </x:c>
      <x:c r="D113" s="211" t="str">
        <x:v>英文</x:v>
      </x:c>
      <x:c r="E113" s="211" t="str"/>
      <x:c r="F113" s="211" t="str">
        <x:v>2026-06-08</x:v>
      </x:c>
      <x:c r="G113" s="217" t="str">
        <x:v>Helpful store employees</x:v>
      </x:c>
      <x:c r="H113" s="211" t="str">
        <x:v>https://www.trustpilot.com/review/www.miniso.com</x:v>
      </x:c>
      <x:c r="I113" s="211" t="str">
        <x:v>单条内容页</x:v>
      </x:c>
      <x:c r="J113" s="211" t="str">
        <x:v>星级</x:v>
      </x:c>
      <x:c r="K113" s="211" t="str">
        <x:v>5</x:v>
      </x:c>
      <x:c r="L113" s="217" t="str">
        <x:v>Wellington门店员工积极帮助顾客。</x:v>
      </x:c>
      <x:c r="M113" s="217" t="str">
        <x:v>现场服务正反馈</x:v>
      </x:c>
      <x:c r="N113" s="211" t="str">
        <x:v>正向</x:v>
      </x:c>
      <x:c r="O113" s="211" t="str">
        <x:v>到店体验</x:v>
      </x:c>
      <x:c r="P113" s="211" t="str">
        <x:v>门店体验</x:v>
      </x:c>
      <x:c r="Q113" s="211" t="str">
        <x:v>门店分级与逛店体验</x:v>
      </x:c>
      <x:c r="R113" s="223" t="str">
        <x:v>2</x:v>
      </x:c>
      <x:c r="S113" s="211" t="str">
        <x:v>高</x:v>
      </x:c>
      <x:c r="T113" s="217" t="str">
        <x:v>店型承诺、货盘与陈列一致性检查</x:v>
      </x:c>
      <x:c r="U113" s="211" t="str">
        <x:v>A-公开评价页</x:v>
      </x:c>
      <x:c r="V113" s="211" t="str">
        <x:v>是</x:v>
      </x:c>
      <x:c r="W113" s="211" t="str">
        <x:v>2026-07-18</x:v>
      </x:c>
    </x:row>
    <x:row r="114">
      <x:c r="A114" s="211" t="str">
        <x:v>tp-2026-06-06</x:v>
      </x:c>
      <x:c r="B114" s="211" t="str">
        <x:v>Trustpilot</x:v>
      </x:c>
      <x:c r="C114" s="211" t="str">
        <x:v>海外</x:v>
      </x:c>
      <x:c r="D114" s="211" t="str">
        <x:v>英文</x:v>
      </x:c>
      <x:c r="E114" s="211" t="str"/>
      <x:c r="F114" s="211" t="str">
        <x:v>2026-06-06</x:v>
      </x:c>
      <x:c r="G114" s="217" t="str">
        <x:v>Earbuds disconnect and die</x:v>
      </x:c>
      <x:c r="H114" s="211" t="str">
        <x:v>https://www.trustpilot.com/review/www.miniso.com</x:v>
      </x:c>
      <x:c r="I114" s="211" t="str">
        <x:v>单条内容页</x:v>
      </x:c>
      <x:c r="J114" s="211" t="str">
        <x:v>星级</x:v>
      </x:c>
      <x:c r="K114" s="211" t="str">
        <x:v>1</x:v>
      </x:c>
      <x:c r="L114" s="217" t="str">
        <x:v>耳机充电后播放数分钟即反复断连，左右耳先后没电。</x:v>
      </x:c>
      <x:c r="M114" s="217" t="str">
        <x:v>连接稳定性与续航失效</x:v>
      </x:c>
      <x:c r="N114" s="211" t="str">
        <x:v>负向</x:v>
      </x:c>
      <x:c r="O114" s="211" t="str">
        <x:v>发现/比较</x:v>
      </x:c>
      <x:c r="P114" s="211" t="str">
        <x:v>数码小电</x:v>
      </x:c>
      <x:c r="Q114" s="211" t="str">
        <x:v>产品发现与购买决策</x:v>
      </x:c>
      <x:c r="R114" s="223" t="str">
        <x:v>4</x:v>
      </x:c>
      <x:c r="S114" s="211" t="str">
        <x:v>中</x:v>
      </x:c>
      <x:c r="T114" s="217" t="str">
        <x:v>高频任务型单品池与复购验证</x:v>
      </x:c>
      <x:c r="U114" s="211" t="str">
        <x:v>A-公开评价页</x:v>
      </x:c>
      <x:c r="V114" s="211" t="str">
        <x:v>是</x:v>
      </x:c>
      <x:c r="W114" s="211" t="str">
        <x:v>2026-07-18</x:v>
      </x:c>
    </x:row>
    <x:row r="115">
      <x:c r="A115" s="211" t="str">
        <x:v>tp-2026-03-23</x:v>
      </x:c>
      <x:c r="B115" s="211" t="str">
        <x:v>Trustpilot</x:v>
      </x:c>
      <x:c r="C115" s="211" t="str">
        <x:v>海外</x:v>
      </x:c>
      <x:c r="D115" s="211" t="str">
        <x:v>英文</x:v>
      </x:c>
      <x:c r="E115" s="211" t="str"/>
      <x:c r="F115" s="211" t="str">
        <x:v>2026-03-23</x:v>
      </x:c>
      <x:c r="G115" s="217" t="str">
        <x:v>No customer-service response for two months</x:v>
      </x:c>
      <x:c r="H115" s="211" t="str">
        <x:v>https://www.trustpilot.com/review/www.miniso.com</x:v>
      </x:c>
      <x:c r="I115" s="211" t="str">
        <x:v>单条内容页</x:v>
      </x:c>
      <x:c r="J115" s="211" t="str">
        <x:v>星级</x:v>
      </x:c>
      <x:c r="K115" s="211" t="str">
        <x:v>1</x:v>
      </x:c>
      <x:c r="L115" s="217" t="str">
        <x:v>连续三次联系支持，两个月无回复。</x:v>
      </x:c>
      <x:c r="M115" s="217" t="str">
        <x:v>客服不可达和售后响应时效</x:v>
      </x:c>
      <x:c r="N115" s="211" t="str">
        <x:v>负向</x:v>
      </x:c>
      <x:c r="O115" s="211" t="str">
        <x:v>发现/比较</x:v>
      </x:c>
      <x:c r="P115" s="211" t="str">
        <x:v>品牌与服务</x:v>
      </x:c>
      <x:c r="Q115" s="211" t="str">
        <x:v>产品发现与购买决策</x:v>
      </x:c>
      <x:c r="R115" s="223" t="str">
        <x:v>4</x:v>
      </x:c>
      <x:c r="S115" s="211" t="str">
        <x:v>中</x:v>
      </x:c>
      <x:c r="T115" s="217" t="str">
        <x:v>高频任务型单品池与复购验证</x:v>
      </x:c>
      <x:c r="U115" s="211" t="str">
        <x:v>A-公开评价页</x:v>
      </x:c>
      <x:c r="V115" s="211" t="str">
        <x:v>是</x:v>
      </x:c>
      <x:c r="W115" s="211" t="str">
        <x:v>2026-07-18</x:v>
      </x:c>
    </x:row>
    <x:row r="116">
      <x:c r="A116" s="211" t="str">
        <x:v>tp-2026-03-05</x:v>
      </x:c>
      <x:c r="B116" s="211" t="str">
        <x:v>Trustpilot</x:v>
      </x:c>
      <x:c r="C116" s="211" t="str">
        <x:v>海外</x:v>
      </x:c>
      <x:c r="D116" s="211" t="str">
        <x:v>英文</x:v>
      </x:c>
      <x:c r="E116" s="211" t="str"/>
      <x:c r="F116" s="211" t="str">
        <x:v>2026-03-05</x:v>
      </x:c>
      <x:c r="G116" s="217" t="str">
        <x:v>Online order marked shipped without tracking</x:v>
      </x:c>
      <x:c r="H116" s="211" t="str">
        <x:v>https://www.trustpilot.com/review/www.miniso.com</x:v>
      </x:c>
      <x:c r="I116" s="211" t="str">
        <x:v>单条内容页</x:v>
      </x:c>
      <x:c r="J116" s="211" t="str">
        <x:v>星级</x:v>
      </x:c>
      <x:c r="K116" s="211" t="str">
        <x:v>1</x:v>
      </x:c>
      <x:c r="L116" s="217" t="str">
        <x:v>线上订单无追踪且迟迟未到，多次提交客服表单无回应。</x:v>
      </x:c>
      <x:c r="M116" s="217" t="str">
        <x:v>物流透明度、在线客服和退款路径</x:v>
      </x:c>
      <x:c r="N116" s="211" t="str">
        <x:v>负向</x:v>
      </x:c>
      <x:c r="O116" s="211" t="str">
        <x:v>发现/比较</x:v>
      </x:c>
      <x:c r="P116" s="211" t="str">
        <x:v>品牌与服务</x:v>
      </x:c>
      <x:c r="Q116" s="211" t="str">
        <x:v>产品发现与购买决策</x:v>
      </x:c>
      <x:c r="R116" s="223" t="str">
        <x:v>4</x:v>
      </x:c>
      <x:c r="S116" s="211" t="str">
        <x:v>中</x:v>
      </x:c>
      <x:c r="T116" s="217" t="str">
        <x:v>高频任务型单品池与复购验证</x:v>
      </x:c>
      <x:c r="U116" s="211" t="str">
        <x:v>A-公开评价页</x:v>
      </x:c>
      <x:c r="V116" s="211" t="str">
        <x:v>是</x:v>
      </x:c>
      <x:c r="W116" s="211" t="str">
        <x:v>2026-07-18</x:v>
      </x:c>
    </x:row>
    <x:row r="117">
      <x:c r="A117" s="211" t="str">
        <x:v>tp-2026-01-11</x:v>
      </x:c>
      <x:c r="B117" s="211" t="str">
        <x:v>Trustpilot</x:v>
      </x:c>
      <x:c r="C117" s="211" t="str">
        <x:v>海外</x:v>
      </x:c>
      <x:c r="D117" s="211" t="str">
        <x:v>英文</x:v>
      </x:c>
      <x:c r="E117" s="211" t="str"/>
      <x:c r="F117" s="211" t="str">
        <x:v>2026-01-11</x:v>
      </x:c>
      <x:c r="G117" s="217" t="str">
        <x:v>Membership points could not be added after payment</x:v>
      </x:c>
      <x:c r="H117" s="211" t="str">
        <x:v>https://www.trustpilot.com/review/www.miniso.com</x:v>
      </x:c>
      <x:c r="I117" s="211" t="str">
        <x:v>单条内容页</x:v>
      </x:c>
      <x:c r="J117" s="211" t="str">
        <x:v>星级</x:v>
      </x:c>
      <x:c r="K117" s="211" t="str">
        <x:v>2</x:v>
      </x:c>
      <x:c r="L117" s="217" t="str">
        <x:v>结账前未解释会员积分，付款后无法补登，线上库存也被评价为不足。</x:v>
      </x:c>
      <x:c r="M117" s="217" t="str">
        <x:v>会员引导时机、积分补登和线上库存</x:v>
      </x:c>
      <x:c r="N117" s="211" t="str">
        <x:v>负向</x:v>
      </x:c>
      <x:c r="O117" s="211" t="str">
        <x:v>购买中</x:v>
      </x:c>
      <x:c r="P117" s="211" t="str">
        <x:v>品牌与服务</x:v>
      </x:c>
      <x:c r="Q117" s="211" t="str">
        <x:v>结账摩擦与会员规则</x:v>
      </x:c>
      <x:c r="R117" s="223" t="str">
        <x:v>4</x:v>
      </x:c>
      <x:c r="S117" s="211" t="str">
        <x:v>高</x:v>
      </x:c>
      <x:c r="T117" s="217" t="str">
        <x:v>统一会员规则并在结账前解释限制</x:v>
      </x:c>
      <x:c r="U117" s="211" t="str">
        <x:v>A-公开评价页</x:v>
      </x:c>
      <x:c r="V117" s="211" t="str">
        <x:v>是</x:v>
      </x:c>
      <x:c r="W117" s="211" t="str">
        <x:v>2026-07-18</x:v>
      </x:c>
    </x:row>
    <x:row r="118">
      <x:c r="A118" s="211" t="str">
        <x:v>tp-2025-12-14</x:v>
      </x:c>
      <x:c r="B118" s="211" t="str">
        <x:v>Trustpilot</x:v>
      </x:c>
      <x:c r="C118" s="211" t="str">
        <x:v>海外</x:v>
      </x:c>
      <x:c r="D118" s="211" t="str">
        <x:v>英文</x:v>
      </x:c>
      <x:c r="E118" s="211" t="str"/>
      <x:c r="F118" s="211" t="str">
        <x:v>2025-12-14</x:v>
      </x:c>
      <x:c r="G118" s="217" t="str">
        <x:v>Store did not follow its return policy</x:v>
      </x:c>
      <x:c r="H118" s="211" t="str">
        <x:v>https://www.trustpilot.com/review/www.miniso.com</x:v>
      </x:c>
      <x:c r="I118" s="211" t="str">
        <x:v>单条内容页</x:v>
      </x:c>
      <x:c r="J118" s="211" t="str">
        <x:v>星级</x:v>
      </x:c>
      <x:c r="K118" s="211" t="str">
        <x:v>1</x:v>
      </x:c>
      <x:c r="L118" s="217" t="str">
        <x:v>收据和店内政策写明7天内可退未开封商品，但经理仍拒绝。</x:v>
      </x:c>
      <x:c r="M118" s="217" t="str">
        <x:v>书面政策与门店执行不一致</x:v>
      </x:c>
      <x:c r="N118" s="211" t="str">
        <x:v>负向</x:v>
      </x:c>
      <x:c r="O118" s="211" t="str">
        <x:v>发现/比较</x:v>
      </x:c>
      <x:c r="P118" s="211" t="str">
        <x:v>品牌与服务</x:v>
      </x:c>
      <x:c r="Q118" s="211" t="str">
        <x:v>产品发现与购买决策</x:v>
      </x:c>
      <x:c r="R118" s="223" t="str">
        <x:v>4</x:v>
      </x:c>
      <x:c r="S118" s="211" t="str">
        <x:v>中</x:v>
      </x:c>
      <x:c r="T118" s="217" t="str">
        <x:v>高频任务型单品池与复购验证</x:v>
      </x:c>
      <x:c r="U118" s="211" t="str">
        <x:v>A-公开评价页</x:v>
      </x:c>
      <x:c r="V118" s="211" t="str">
        <x:v>是</x:v>
      </x:c>
      <x:c r="W118" s="211" t="str">
        <x:v>2026-07-18</x:v>
      </x:c>
    </x:row>
    <x:row r="119">
      <x:c r="A119" s="211" t="str">
        <x:v>tp-2025-12-19</x:v>
      </x:c>
      <x:c r="B119" s="211" t="str">
        <x:v>Trustpilot</x:v>
      </x:c>
      <x:c r="C119" s="211" t="str">
        <x:v>海外</x:v>
      </x:c>
      <x:c r="D119" s="211" t="str">
        <x:v>英文</x:v>
      </x:c>
      <x:c r="E119" s="211" t="str"/>
      <x:c r="F119" s="211" t="str">
        <x:v>2025-12-19</x:v>
      </x:c>
      <x:c r="G119" s="217" t="str">
        <x:v>No order confirmation or customer-service response</x:v>
      </x:c>
      <x:c r="H119" s="211" t="str">
        <x:v>https://www.trustpilot.com/review/www.miniso.com</x:v>
      </x:c>
      <x:c r="I119" s="211" t="str">
        <x:v>单条内容页</x:v>
      </x:c>
      <x:c r="J119" s="211" t="str">
        <x:v>星级</x:v>
      </x:c>
      <x:c r="K119" s="211" t="str">
        <x:v>1</x:v>
      </x:c>
      <x:c r="L119" s="217" t="str">
        <x:v>葡萄牙线上订单支付后无确认邮件，电话和邮件均无响应。</x:v>
      </x:c>
      <x:c r="M119" s="217" t="str">
        <x:v>订单确认、客服可达性和跨市场履约</x:v>
      </x:c>
      <x:c r="N119" s="211" t="str">
        <x:v>负向</x:v>
      </x:c>
      <x:c r="O119" s="211" t="str">
        <x:v>发现/比较</x:v>
      </x:c>
      <x:c r="P119" s="211" t="str">
        <x:v>品牌与服务</x:v>
      </x:c>
      <x:c r="Q119" s="211" t="str">
        <x:v>产品发现与购买决策</x:v>
      </x:c>
      <x:c r="R119" s="223" t="str">
        <x:v>4</x:v>
      </x:c>
      <x:c r="S119" s="211" t="str">
        <x:v>中</x:v>
      </x:c>
      <x:c r="T119" s="217" t="str">
        <x:v>高频任务型单品池与复购验证</x:v>
      </x:c>
      <x:c r="U119" s="211" t="str">
        <x:v>A-公开评价页</x:v>
      </x:c>
      <x:c r="V119" s="211" t="str">
        <x:v>是</x:v>
      </x:c>
      <x:c r="W119" s="211" t="str">
        <x:v>2026-07-18</x:v>
      </x:c>
    </x:row>
    <x:row r="120">
      <x:c r="A120" s="211" t="str">
        <x:v>tp-2025-10-17</x:v>
      </x:c>
      <x:c r="B120" s="211" t="str">
        <x:v>Trustpilot</x:v>
      </x:c>
      <x:c r="C120" s="211" t="str">
        <x:v>海外</x:v>
      </x:c>
      <x:c r="D120" s="211" t="str">
        <x:v>英文</x:v>
      </x:c>
      <x:c r="E120" s="211" t="str"/>
      <x:c r="F120" s="211" t="str">
        <x:v>2025-10-17</x:v>
      </x:c>
      <x:c r="G120" s="217" t="str">
        <x:v>Franchise locations not connected for returns</x:v>
      </x:c>
      <x:c r="H120" s="211" t="str">
        <x:v>https://www.trustpilot.com/review/www.miniso.com</x:v>
      </x:c>
      <x:c r="I120" s="211" t="str">
        <x:v>单条内容页</x:v>
      </x:c>
      <x:c r="J120" s="211" t="str">
        <x:v>星级</x:v>
      </x:c>
      <x:c r="K120" s="211" t="str">
        <x:v>1</x:v>
      </x:c>
      <x:c r="L120" s="217" t="str">
        <x:v>消费者称不同加盟门店系统不互通，许多商品不可退。</x:v>
      </x:c>
      <x:c r="M120" s="217" t="str">
        <x:v>加盟门店售后割裂和跨店退换</x:v>
      </x:c>
      <x:c r="N120" s="211" t="str">
        <x:v>负向</x:v>
      </x:c>
      <x:c r="O120" s="211" t="str">
        <x:v>使用后/售后</x:v>
      </x:c>
      <x:c r="P120" s="211" t="str">
        <x:v>品牌与服务</x:v>
      </x:c>
      <x:c r="Q120" s="211" t="str">
        <x:v>质量与耐用性</x:v>
      </x:c>
      <x:c r="R120" s="223" t="str">
        <x:v>4</x:v>
      </x:c>
      <x:c r="S120" s="211" t="str">
        <x:v>高</x:v>
      </x:c>
      <x:c r="T120" s="217" t="str">
        <x:v>高风险SKU质量红线与上市前压力测试</x:v>
      </x:c>
      <x:c r="U120" s="211" t="str">
        <x:v>B-评价页摘要</x:v>
      </x:c>
      <x:c r="V120" s="211" t="str">
        <x:v>是</x:v>
      </x:c>
      <x:c r="W120" s="211" t="str">
        <x:v>2026-07-18</x:v>
      </x:c>
    </x:row>
    <x:row r="121">
      <x:c r="A121" s="211" t="str">
        <x:v>google-hcm-1</x:v>
      </x:c>
      <x:c r="B121" s="211" t="str">
        <x:v>Google Reviews/Wanderlog</x:v>
      </x:c>
      <x:c r="C121" s="211" t="str">
        <x:v>越南</x:v>
      </x:c>
      <x:c r="D121" s="211" t="str">
        <x:v>英文</x:v>
      </x:c>
      <x:c r="E121" s="211" t="str"/>
      <x:c r="F121" s="211" t="str">
        <x:v>2025-10-18</x:v>
      </x:c>
      <x:c r="G121" s="217" t="str">
        <x:v>Good store great service</x:v>
      </x:c>
      <x:c r="H121" s="211" t="str">
        <x:v>https://wanderlog.com/place/details/6421998/miniso</x:v>
      </x:c>
      <x:c r="I121" s="211" t="str">
        <x:v>单条内容页</x:v>
      </x:c>
      <x:c r="J121" s="211" t="str">
        <x:v>星级</x:v>
      </x:c>
      <x:c r="K121" s="211" t="str">
        <x:v>5</x:v>
      </x:c>
      <x:c r="L121" s="217" t="str">
        <x:v>门店服务良好。</x:v>
      </x:c>
      <x:c r="M121" s="217" t="str">
        <x:v>服务正反馈</x:v>
      </x:c>
      <x:c r="N121" s="211" t="str">
        <x:v>正向</x:v>
      </x:c>
      <x:c r="O121" s="211" t="str">
        <x:v>到店体验</x:v>
      </x:c>
      <x:c r="P121" s="211" t="str">
        <x:v>门店体验</x:v>
      </x:c>
      <x:c r="Q121" s="211" t="str">
        <x:v>门店分级与逛店体验</x:v>
      </x:c>
      <x:c r="R121" s="223" t="str">
        <x:v>2</x:v>
      </x:c>
      <x:c r="S121" s="211" t="str">
        <x:v>高</x:v>
      </x:c>
      <x:c r="T121" s="217" t="str">
        <x:v>店型承诺、货盘与陈列一致性检查</x:v>
      </x:c>
      <x:c r="U121" s="211" t="str">
        <x:v>B-Google评价聚合</x:v>
      </x:c>
      <x:c r="V121" s="211" t="str">
        <x:v>是</x:v>
      </x:c>
      <x:c r="W121" s="211" t="str">
        <x:v>2026-07-18</x:v>
      </x:c>
    </x:row>
    <x:row r="122">
      <x:c r="A122" s="211" t="str">
        <x:v>google-hcm-2</x:v>
      </x:c>
      <x:c r="B122" s="211" t="str">
        <x:v>Google Reviews/Wanderlog</x:v>
      </x:c>
      <x:c r="C122" s="211" t="str">
        <x:v>越南</x:v>
      </x:c>
      <x:c r="D122" s="211" t="str">
        <x:v>英文</x:v>
      </x:c>
      <x:c r="E122" s="211" t="str"/>
      <x:c r="F122" s="211" t="str">
        <x:v>2018-06-09</x:v>
      </x:c>
      <x:c r="G122" s="217" t="str">
        <x:v>Cute goods but slightly higher price</x:v>
      </x:c>
      <x:c r="H122" s="211" t="str">
        <x:v>https://wanderlog.com/place/details/6421998/miniso</x:v>
      </x:c>
      <x:c r="I122" s="211" t="str">
        <x:v>单条内容页</x:v>
      </x:c>
      <x:c r="J122" s="211" t="str">
        <x:v>星级</x:v>
      </x:c>
      <x:c r="K122" s="211" t="str">
        <x:v>4</x:v>
      </x:c>
      <x:c r="L122" s="217" t="str">
        <x:v>商品可爱，但价格略高于其他门店。</x:v>
      </x:c>
      <x:c r="M122" s="217" t="str">
        <x:v>可爱溢价与价格敏感</x:v>
      </x:c>
      <x:c r="N122" s="211" t="str">
        <x:v>混合/待判断</x:v>
      </x:c>
      <x:c r="O122" s="211" t="str">
        <x:v>发现/比较</x:v>
      </x:c>
      <x:c r="P122" s="211" t="str">
        <x:v>综合/其他</x:v>
      </x:c>
      <x:c r="Q122" s="211" t="str">
        <x:v>性价比与价格锚点</x:v>
      </x:c>
      <x:c r="R122" s="223" t="str">
        <x:v>3</x:v>
      </x:c>
      <x:c r="S122" s="211" t="str">
        <x:v>高</x:v>
      </x:c>
      <x:c r="T122" s="217" t="str">
        <x:v>价格带-功能价值联合测试</x:v>
      </x:c>
      <x:c r="U122" s="211" t="str">
        <x:v>B-Google评价聚合</x:v>
      </x:c>
      <x:c r="V122" s="211" t="str">
        <x:v>是</x:v>
      </x:c>
      <x:c r="W122" s="211" t="str">
        <x:v>2026-07-18</x:v>
      </x:c>
    </x:row>
    <x:row r="123">
      <x:c r="A123" s="211" t="str">
        <x:v>google-hcm-3</x:v>
      </x:c>
      <x:c r="B123" s="211" t="str">
        <x:v>Google Reviews/Wanderlog</x:v>
      </x:c>
      <x:c r="C123" s="211" t="str">
        <x:v>越南</x:v>
      </x:c>
      <x:c r="D123" s="211" t="str">
        <x:v>英文</x:v>
      </x:c>
      <x:c r="E123" s="211" t="str"/>
      <x:c r="F123" s="211" t="str">
        <x:v>2023-07-01</x:v>
      </x:c>
      <x:c r="G123" s="217" t="str">
        <x:v>I love this cute store</x:v>
      </x:c>
      <x:c r="H123" s="211" t="str">
        <x:v>https://wanderlog.com/place/details/6421998/miniso</x:v>
      </x:c>
      <x:c r="I123" s="211" t="str">
        <x:v>单条内容页</x:v>
      </x:c>
      <x:c r="J123" s="211" t="str">
        <x:v>星级</x:v>
      </x:c>
      <x:c r="K123" s="211" t="str">
        <x:v>5</x:v>
      </x:c>
      <x:c r="L123" s="217" t="str">
        <x:v>可爱陈列带来强门店喜爱。</x:v>
      </x:c>
      <x:c r="M123" s="217" t="str">
        <x:v>视觉吸引和逛店愉悦</x:v>
      </x:c>
      <x:c r="N123" s="211" t="str">
        <x:v>正向</x:v>
      </x:c>
      <x:c r="O123" s="211" t="str">
        <x:v>到店体验</x:v>
      </x:c>
      <x:c r="P123" s="211" t="str">
        <x:v>门店体验</x:v>
      </x:c>
      <x:c r="Q123" s="211" t="str">
        <x:v>门店分级与逛店体验</x:v>
      </x:c>
      <x:c r="R123" s="223" t="str">
        <x:v>2</x:v>
      </x:c>
      <x:c r="S123" s="211" t="str">
        <x:v>高</x:v>
      </x:c>
      <x:c r="T123" s="217" t="str">
        <x:v>店型承诺、货盘与陈列一致性检查</x:v>
      </x:c>
      <x:c r="U123" s="211" t="str">
        <x:v>B-Google评价聚合</x:v>
      </x:c>
      <x:c r="V123" s="211" t="str">
        <x:v>是</x:v>
      </x:c>
      <x:c r="W123" s="211" t="str">
        <x:v>2026-07-18</x:v>
      </x:c>
    </x:row>
    <x:row r="124">
      <x:c r="A124" s="211" t="str">
        <x:v>bbb-2024-01-21</x:v>
      </x:c>
      <x:c r="B124" s="211" t="str">
        <x:v>BBB Reviews</x:v>
      </x:c>
      <x:c r="C124" s="211" t="str">
        <x:v>美国</x:v>
      </x:c>
      <x:c r="D124" s="211" t="str">
        <x:v>英文</x:v>
      </x:c>
      <x:c r="E124" s="211" t="str"/>
      <x:c r="F124" s="211" t="str">
        <x:v>2024-01-21</x:v>
      </x:c>
      <x:c r="G124" s="217" t="str">
        <x:v>Defective toy exchange refused</x:v>
      </x:c>
      <x:c r="H124" s="211" t="str">
        <x:v>https://www.bbb.org/us/ny/new-york/profile/department-stores/miniso-usa-0121-87160501/customer-reviews</x:v>
      </x:c>
      <x:c r="I124" s="211" t="str">
        <x:v>单条内容页</x:v>
      </x:c>
      <x:c r="J124" s="211" t="str">
        <x:v>星级</x:v>
      </x:c>
      <x:c r="K124" s="211" t="str">
        <x:v>1</x:v>
      </x:c>
      <x:c r="L124" s="217" t="str">
        <x:v>购买不到24小时的破损玩具被拒绝换货，门店称问题属于公司而非门店。</x:v>
      </x:c>
      <x:c r="M124" s="217" t="str">
        <x:v>缺陷品、7天政策和门店责任推诿</x:v>
      </x:c>
      <x:c r="N124" s="211" t="str">
        <x:v>负向</x:v>
      </x:c>
      <x:c r="O124" s="211" t="str">
        <x:v>使用后/售后</x:v>
      </x:c>
      <x:c r="P124" s="211" t="str">
        <x:v>IP潮玩</x:v>
      </x:c>
      <x:c r="Q124" s="211" t="str">
        <x:v>质量与耐用性</x:v>
      </x:c>
      <x:c r="R124" s="223" t="str">
        <x:v>4</x:v>
      </x:c>
      <x:c r="S124" s="211" t="str">
        <x:v>高</x:v>
      </x:c>
      <x:c r="T124" s="217" t="str">
        <x:v>高风险SKU质量红线与上市前压力测试</x:v>
      </x:c>
      <x:c r="U124" s="211" t="str">
        <x:v>A-公开评价页</x:v>
      </x:c>
      <x:c r="V124" s="211" t="str">
        <x:v>是</x:v>
      </x:c>
      <x:c r="W124" s="211" t="str">
        <x:v>2026-07-18</x:v>
      </x:c>
    </x:row>
    <x:row r="125">
      <x:c r="A125" s="212" t="str">
        <x:v>bbb-2024-05-09</x:v>
      </x:c>
      <x:c r="B125" s="212" t="str">
        <x:v>BBB Reviews</x:v>
      </x:c>
      <x:c r="C125" s="212" t="str">
        <x:v>美国</x:v>
      </x:c>
      <x:c r="D125" s="212" t="str">
        <x:v>英文</x:v>
      </x:c>
      <x:c r="E125" s="212" t="str"/>
      <x:c r="F125" s="212" t="str">
        <x:v>2024-05-09</x:v>
      </x:c>
      <x:c r="G125" s="218" t="str">
        <x:v>Return policy on receipt not honored</x:v>
      </x:c>
      <x:c r="H125" s="212" t="str">
        <x:v>https://www.bbb.org/us/ny/new-york/profile/department-stores/miniso-usa-0121-87160501/customer-reviews</x:v>
      </x:c>
      <x:c r="I125" s="212" t="str">
        <x:v>单条内容页</x:v>
      </x:c>
      <x:c r="J125" s="212" t="str">
        <x:v>星级</x:v>
      </x:c>
      <x:c r="K125" s="212" t="str">
        <x:v>1</x:v>
      </x:c>
      <x:c r="L125" s="218" t="str">
        <x:v>消费者按收据退货政策操作仍被拒，且无法获得上级联系方式。</x:v>
      </x:c>
      <x:c r="M125" s="218" t="str">
        <x:v>退货规则执行和升级投诉路径</x:v>
      </x:c>
      <x:c r="N125" s="212" t="str">
        <x:v>负向</x:v>
      </x:c>
      <x:c r="O125" s="212" t="str">
        <x:v>发现/比较</x:v>
      </x:c>
      <x:c r="P125" s="212" t="str">
        <x:v>品牌与服务</x:v>
      </x:c>
      <x:c r="Q125" s="212" t="str">
        <x:v>产品发现与购买决策</x:v>
      </x:c>
      <x:c r="R125" s="224" t="str">
        <x:v>4</x:v>
      </x:c>
      <x:c r="S125" s="212" t="str">
        <x:v>中</x:v>
      </x:c>
      <x:c r="T125" s="218" t="str">
        <x:v>高频任务型单品池与复购验证</x:v>
      </x:c>
      <x:c r="U125" s="212" t="str">
        <x:v>A-公开评价页</x:v>
      </x:c>
      <x:c r="V125" s="212" t="str">
        <x:v>是</x:v>
      </x:c>
      <x:c r="W125" s="212" t="str">
        <x:v>2026-07-18</x:v>
      </x:c>
    </x:row>
  </x:sheetData>
  <x:conditionalFormatting sqref="N2:N125">
    <x:cfRule type="containsText" dxfId="0" priority="1" operator="containsText" text="负向"/>
    <x:cfRule type="containsText" dxfId="1" priority="2" operator="containsText" text="正向"/>
  </x:conditionalFormatting>
  <x:conditionalFormatting sqref="R2:R125">
    <x:cfRule type="cellIs" dxfId="2" priority="3" operator="greaterThanOrEqual">
      <x:formula>4</x:formula>
    </x:cfRule>
  </x:conditionalFormatting>
  <x:conditionalFormatting sqref="V2:V125">
    <x:cfRule type="containsText" dxfId="3" priority="4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3f3a17c4cbfb42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52" hidden="0" customWidth="1"/>
    <x:col min="4" max="4" width="52" hidden="0" customWidth="1"/>
    <x:col min="5" max="5" width="24" hidden="0" customWidth="1"/>
    <x:col min="6" max="6" width="24" hidden="0" customWidth="1"/>
  </x:cols>
  <x:sheetData>
    <x:row r="1" ht="28" customHeight="1">
      <x:c r="A1" s="232" t="str">
        <x:v>sample_id</x:v>
      </x:c>
      <x:c r="B1" s="232" t="str">
        <x:v>source_url</x:v>
      </x:c>
      <x:c r="C1" s="232" t="str">
        <x:v>content_summary</x:v>
      </x:c>
      <x:c r="D1" s="232" t="str">
        <x:v>comment_theme</x:v>
      </x:c>
      <x:c r="E1" s="232" t="str">
        <x:v>engagement_visible</x:v>
      </x:c>
      <x:c r="F1" s="232" t="str">
        <x:v>evidence_level</x:v>
      </x:c>
    </x:row>
    <x:row r="2">
      <x:c r="A2" s="242" t="str">
        <x:v>xhs-69f205bb000000001a035cbb</x:v>
      </x:c>
      <x:c r="B2" s="242" t="str">
        <x:v>https://www.rednote.com/explore/69f205bb000000001a035cbb</x:v>
      </x:c>
      <x:c r="C2" s="242" t="str">
        <x:v>标题表达品牌价格/定位变化；评论同时提到价格上涨、质量尚可、应急购买便利和生活用品齐全。</x:v>
      </x:c>
      <x:c r="D2" s="242" t="str">
        <x:v>价格变贵但质量/便利可抵消；用户频繁询价；应急一站购价值突出</x:v>
      </x:c>
      <x:c r="E2" s="242" t="str">
        <x:v>点赞282;收藏60;评论9</x:v>
      </x:c>
      <x:c r="F2" s="242" t="str">
        <x:v>A-详情页含公开评论</x:v>
      </x:c>
    </x:row>
    <x:row r="3">
      <x:c r="A3" s="243" t="str">
        <x:v>xhs-692547cb000000001e039226</x:v>
      </x:c>
      <x:c r="B3" s="243" t="str">
        <x:v>https://www.rednote.com/explore/692547cb000000001e039226</x:v>
      </x:c>
      <x:c r="C3" s="243" t="str">
        <x:v>均价约20元的名创彩妆集中测评，关注是否真正好用而非仅便宜。</x:v>
      </x:c>
      <x:c r="D3" s="243" t="str">
        <x:v>评论未稳定加载；以正文和互动量作为证据</x:v>
      </x:c>
      <x:c r="E3" s="243" t="str">
        <x:v>点赞3333;收藏1699;评论81</x:v>
      </x:c>
      <x:c r="F3" s="243" t="str">
        <x:v>A-详情页含公开评论</x:v>
      </x:c>
    </x:row>
    <x:row r="4">
      <x:c r="A4" s="243" t="str">
        <x:v>xhs-691b121d00000000070328c1</x:v>
      </x:c>
      <x:c r="B4" s="243" t="str">
        <x:v>https://www.rednote.com/explore/691b121d00000000070328c1</x:v>
      </x:c>
      <x:c r="C4" s="243" t="str">
        <x:v>约200元完成全套彩妆，强调真实消费和学生党可负担。</x:v>
      </x:c>
      <x:c r="D4" s="243" t="str">
        <x:v>色号选择、修容下手轻重、腮红液新手门槛、完整教程需求</x:v>
      </x:c>
      <x:c r="E4" s="243" t="str">
        <x:v>点赞551;收藏340;评论34</x:v>
      </x:c>
      <x:c r="F4" s="243" t="str">
        <x:v>A-详情页含公开评论</x:v>
      </x:c>
    </x:row>
    <x:row r="5">
      <x:c r="A5" s="243" t="str">
        <x:v>xhs-688369540000000010011c90</x:v>
      </x:c>
      <x:c r="B5" s="243" t="str">
        <x:v>https://www.rednote.com/explore/688369540000000010011c90</x:v>
      </x:c>
      <x:c r="C5" s="243" t="str">
        <x:v>跨品类无限回购清单，评论围绕单价、睫毛夹、杯子、护手霜和IP设计。</x:v>
      </x:c>
      <x:c r="D5" s="243" t="str">
        <x:v>强询价；功能好用带来回购；IP联名好看但仍需实用</x:v>
      </x:c>
      <x:c r="E5" s="243" t="str">
        <x:v>点赞1514;收藏580;评论14</x:v>
      </x:c>
      <x:c r="F5" s="243" t="str">
        <x:v>A-详情页含公开评论</x:v>
      </x:c>
    </x:row>
    <x:row r="6">
      <x:c r="A6" s="243" t="str">
        <x:v>xhs-6a1c244f000000003502498c</x:v>
      </x:c>
      <x:c r="B6" s="243" t="str">
        <x:v>https://www.rednote.com/explore/6a1c244f000000003502498c</x:v>
      </x:c>
      <x:c r="C6" s="243" t="str">
        <x:v>均价10元左右的年度好用物，集中在彩妆、降温、出行和梳子。</x:v>
      </x:c>
      <x:c r="D6" s="243" t="str">
        <x:v>冰凉贴/湿巾、牙线棒、出行便携品；用户补充手机降温场景</x:v>
      </x:c>
      <x:c r="E6" s="243" t="str">
        <x:v>点赞662;收藏318;评论11</x:v>
      </x:c>
      <x:c r="F6" s="243" t="str">
        <x:v>A-详情页含公开评论</x:v>
      </x:c>
    </x:row>
    <x:row r="7">
      <x:c r="A7" s="243" t="str">
        <x:v>xhs-6a0fc757000000003700c989</x:v>
      </x:c>
      <x:c r="B7" s="243" t="str">
        <x:v>https://www.rednote.com/explore/6a0fc757000000003700c989</x:v>
      </x:c>
      <x:c r="C7" s="243" t="str">
        <x:v>Chiikawa联名到店实况，角色偏好、价格、门店地址和预约规则是主要问题。</x:v>
      </x:c>
      <x:c r="D7" s="243" t="str">
        <x:v>乌萨奇/小八角色偏好；69.9/99元询价；正佳广场地址；预约和到货信息</x:v>
      </x:c>
      <x:c r="E7" s="243" t="str">
        <x:v>点赞1298;收藏167;评论57</x:v>
      </x:c>
      <x:c r="F7" s="243" t="str">
        <x:v>A-详情页含公开评论</x:v>
      </x:c>
    </x:row>
    <x:row r="8">
      <x:c r="A8" s="243" t="str">
        <x:v>xhs-6a0096d5000000003700c839</x:v>
      </x:c>
      <x:c r="B8" s="243" t="str">
        <x:v>https://www.rednote.com/explore/6a0096d5000000003700c839</x:v>
      </x:c>
      <x:c r="C8" s="243" t="str">
        <x:v>Hello Kitty香薰盲盒四连拆，卖点叠加毛绒、录音、变色与淡香。</x:v>
      </x:c>
      <x:c r="D8" s="243" t="str">
        <x:v>评论未稳定加载；正文显示多感官/可玩功能提升盲盒价值</x:v>
      </x:c>
      <x:c r="E8" s="243" t="str">
        <x:v>点赞213;收藏62;评论6</x:v>
      </x:c>
      <x:c r="F8" s="243" t="str">
        <x:v>A-详情页含公开评论</x:v>
      </x:c>
    </x:row>
    <x:row r="9">
      <x:c r="A9" s="243" t="str">
        <x:v>xhs-6a085823000000000702e0de</x:v>
      </x:c>
      <x:c r="B9" s="243" t="str">
        <x:v>https://www.rednote.com/explore/6a085823000000000702e0de</x:v>
      </x:c>
      <x:c r="C9" s="243" t="str">
        <x:v>苹果香全家桶以无广、淡香、夏日香氛为主要卖点。</x:v>
      </x:c>
      <x:c r="D9" s="243" t="str">
        <x:v>评论未稳定加载；收藏高于点赞的一半，显示购买参考价值</x:v>
      </x:c>
      <x:c r="E9" s="243" t="str">
        <x:v>点赞584;收藏326;评论20</x:v>
      </x:c>
      <x:c r="F9" s="243" t="str">
        <x:v>A-详情页含公开评论</x:v>
      </x:c>
    </x:row>
    <x:row r="10">
      <x:c r="A10" s="243" t="str">
        <x:v>xhs-69c3bde4000000001f000d99</x:v>
      </x:c>
      <x:c r="B10" s="243" t="str">
        <x:v>https://www.rednote.com/explore/69c3bde4000000001f000d99</x:v>
      </x:c>
      <x:c r="C10" s="243" t="str">
        <x:v>开放式必买榜征集产生高密度真实使用反馈，跨耳机、浴巾、梳子、香氛、彩妆和毛绒。</x:v>
      </x:c>
      <x:c r="D10" s="243" t="str">
        <x:v>耳机耐用、浴巾快干、梳子长期复购、眼线笔高复购、淡香推荐、毛绒角色吸引</x:v>
      </x:c>
      <x:c r="E10" s="243" t="str">
        <x:v>点赞4351;收藏2665;评论611</x:v>
      </x:c>
      <x:c r="F10" s="243" t="str">
        <x:v>A-详情页含公开评论</x:v>
      </x:c>
    </x:row>
    <x:row r="11">
      <x:c r="A11" s="243" t="str">
        <x:v>xhs-6964d649000000001a022148</x:v>
      </x:c>
      <x:c r="B11" s="243" t="str">
        <x:v>https://www.rednote.com/explore/6964d649000000001a022148</x:v>
      </x:c>
      <x:c r="C11" s="243" t="str">
        <x:v>与MUJI收纳包对比，名创价格约为一半，但做工、内衬和原创性引发争议。</x:v>
      </x:c>
      <x:c r="D11" s="243" t="str">
        <x:v>反对抄袭；一分钱一分货；名创19.9元价格优势；外观相似但细节有差</x:v>
      </x:c>
      <x:c r="E11" s="243" t="str">
        <x:v>点赞2872;收藏533;评论340</x:v>
      </x:c>
      <x:c r="F11" s="243" t="str">
        <x:v>A-详情页含公开评论</x:v>
      </x:c>
    </x:row>
    <x:row r="12">
      <x:c r="A12" s="243" t="str">
        <x:v>xhs-6a033df40000000036018774</x:v>
      </x:c>
      <x:c r="B12" s="243" t="str">
        <x:v>https://www.rednote.com/explore/6a033df40000000036018774</x:v>
      </x:c>
      <x:c r="C12" s="243" t="str">
        <x:v>两款小风扇二选一，体现参数和场景比较信息不足。</x:v>
      </x:c>
      <x:c r="D12" s="243" t="str">
        <x:v>评论未稳定加载；需要结构化对比续航、噪音、风量和便携性</x:v>
      </x:c>
      <x:c r="E12" s="243" t="str">
        <x:v>点赞96;收藏11;评论42</x:v>
      </x:c>
      <x:c r="F12" s="243" t="str">
        <x:v>A-详情页含公开评论</x:v>
      </x:c>
    </x:row>
    <x:row r="13">
      <x:c r="A13" s="243" t="str">
        <x:v>xhs-69959b00000000001b01e498</x:v>
      </x:c>
      <x:c r="B13" s="243" t="str">
        <x:v>https://www.rednote.com/explore/69959b00000000001b01e498</x:v>
      </x:c>
      <x:c r="C13" s="243" t="str">
        <x:v>轻松小熊与角落生物在北京MINISO FRIENDS集中陈列，互动量高。</x:v>
      </x:c>
      <x:c r="D13" s="243" t="str">
        <x:v>评论未稳定加载；地点和角色组合是主要传播信息</x:v>
      </x:c>
      <x:c r="E13" s="243" t="str">
        <x:v>点赞3770;收藏436;评论260</x:v>
      </x:c>
      <x:c r="F13" s="243" t="str">
        <x:v>A-详情页含公开评论</x:v>
      </x:c>
    </x:row>
    <x:row r="14">
      <x:c r="A14" s="244" t="str">
        <x:v>xhs-6a5719b6000000000f0319e1</x:v>
      </x:c>
      <x:c r="B14" s="244" t="str">
        <x:v>https://www.rednote.com/explore/6a5719b6000000000f0319e1</x:v>
      </x:c>
      <x:c r="C14" s="244" t="str">
        <x:v>东北首家FRIENDS试营业测评指出门店偏小、货品不够丰富、限量盲盒标识不清，体验弱于LAND。</x:v>
      </x:c>
      <x:c r="D14" s="244" t="str">
        <x:v>店型分级困惑；限定品/库存询问；FRIENDS与LAND货盘差异；正式开业预期</x:v>
      </x:c>
      <x:c r="E14" s="244" t="str">
        <x:v>点赞346;收藏75;评论80</x:v>
      </x:c>
      <x:c r="F14" s="244" t="str">
        <x:v>A-详情页含公开评论</x:v>
      </x:c>
    </x:row>
  </x:sheetData>
  <x:pageMargins left="0.7" right="0.7" top="0.75" bottom="0.75" header="0.3" footer="0.3"/>
  <x:tableParts count="1">
    <x:tablePart xmlns:r="http://schemas.openxmlformats.org/officeDocument/2006/relationships" r:id="Rcebb453492834f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48" hidden="0" customWidth="1"/>
  </x:cols>
  <x:sheetData>
    <x:row r="1" ht="28" customHeight="1">
      <x:c r="A1" s="250" t="str">
        <x:v>field</x:v>
      </x:c>
      <x:c r="B1" s="250" t="str">
        <x:v>description</x:v>
      </x:c>
      <x:c r="C1" s="250" t="str">
        <x:v>type_or_values</x:v>
      </x:c>
    </x:row>
    <x:row r="2">
      <x:c r="A2" s="242" t="str">
        <x:v>sample_id</x:v>
      </x:c>
      <x:c r="B2" s="242" t="str">
        <x:v>稳定样本ID</x:v>
      </x:c>
      <x:c r="C2" s="242" t="str">
        <x:v>text</x:v>
      </x:c>
    </x:row>
    <x:row r="3">
      <x:c r="A3" s="243" t="str">
        <x:v>platform</x:v>
      </x:c>
      <x:c r="B3" s="243" t="str">
        <x:v>公开来源平台</x:v>
      </x:c>
      <x:c r="C3" s="243" t="str">
        <x:v>小红书/哔哩哔哩/抖音/微博/Reddit/Trustpilot/Google Reviews/BBB</x:v>
      </x:c>
    </x:row>
    <x:row r="4">
      <x:c r="A4" s="243" t="str">
        <x:v>market</x:v>
      </x:c>
      <x:c r="B4" s="243" t="str">
        <x:v>样本市场</x:v>
      </x:c>
      <x:c r="C4" s="243" t="str">
        <x:v>中国/海外/具体国家</x:v>
      </x:c>
    </x:row>
    <x:row r="5">
      <x:c r="A5" s="243" t="str">
        <x:v>title</x:v>
      </x:c>
      <x:c r="B5" s="243" t="str">
        <x:v>公开内容标题或评价短标题</x:v>
      </x:c>
      <x:c r="C5" s="243" t="str">
        <x:v>text</x:v>
      </x:c>
    </x:row>
    <x:row r="6">
      <x:c r="A6" s="243" t="str">
        <x:v>source_url</x:v>
      </x:c>
      <x:c r="B6" s="243" t="str">
        <x:v>可回溯公开链接</x:v>
      </x:c>
      <x:c r="C6" s="243" t="str">
        <x:v>URL</x:v>
      </x:c>
    </x:row>
    <x:row r="7">
      <x:c r="A7" s="243" t="str">
        <x:v>source_precision</x:v>
      </x:c>
      <x:c r="B7" s="243" t="str">
        <x:v>链接粒度</x:v>
      </x:c>
      <x:c r="C7" s="243" t="str">
        <x:v>单条内容页/主题页/评价聚合页</x:v>
      </x:c>
    </x:row>
    <x:row r="8">
      <x:c r="A8" s="243" t="str">
        <x:v>engagement_metric</x:v>
      </x:c>
      <x:c r="B8" s="243" t="str">
        <x:v>页面可见互动口径</x:v>
      </x:c>
      <x:c r="C8" s="243" t="str">
        <x:v>点赞/播放/星级等</x:v>
      </x:c>
    </x:row>
    <x:row r="9">
      <x:c r="A9" s="243" t="str">
        <x:v>engagement_count</x:v>
      </x:c>
      <x:c r="B9" s="243" t="str">
        <x:v>采集时可见互动量；不同平台不可直接横比</x:v>
      </x:c>
      <x:c r="C9" s="243" t="str">
        <x:v>number_or_text</x:v>
      </x:c>
    </x:row>
    <x:row r="10">
      <x:c r="A10" s="243" t="str">
        <x:v>content_summary</x:v>
      </x:c>
      <x:c r="B10" s="243" t="str">
        <x:v>对正文或搜索摘要的中文压缩</x:v>
      </x:c>
      <x:c r="C10" s="243" t="str">
        <x:v>researcher_paraphrase</x:v>
      </x:c>
    </x:row>
    <x:row r="11">
      <x:c r="A11" s="243" t="str">
        <x:v>comment_theme</x:v>
      </x:c>
      <x:c r="B11" s="243" t="str">
        <x:v>公开评论主题归纳；非逐字评论</x:v>
      </x:c>
      <x:c r="C11" s="243" t="str">
        <x:v>researcher_paraphrase</x:v>
      </x:c>
    </x:row>
    <x:row r="12">
      <x:c r="A12" s="243" t="str">
        <x:v>sentiment</x:v>
      </x:c>
      <x:c r="B12" s="243" t="str">
        <x:v>AI辅助后人工规则复核的情绪</x:v>
      </x:c>
      <x:c r="C12" s="243" t="str">
        <x:v>正向/中性/负向/混合或待判断</x:v>
      </x:c>
    </x:row>
    <x:row r="13">
      <x:c r="A13" s="243" t="str">
        <x:v>journey</x:v>
      </x:c>
      <x:c r="B13" s="243" t="str">
        <x:v>用户旅程位置</x:v>
      </x:c>
      <x:c r="C13" s="243" t="str">
        <x:v>发现比较/购买前到店/购买中/使用后售后</x:v>
      </x:c>
    </x:row>
    <x:row r="14">
      <x:c r="A14" s="243" t="str">
        <x:v>category_ip</x:v>
      </x:c>
      <x:c r="B14" s="243" t="str">
        <x:v>品类或IP域</x:v>
      </x:c>
      <x:c r="C14" s="243" t="str">
        <x:v>controlled_vocabulary</x:v>
      </x:c>
    </x:row>
    <x:row r="15">
      <x:c r="A15" s="243" t="str">
        <x:v>primary_theme</x:v>
      </x:c>
      <x:c r="B15" s="243" t="str">
        <x:v>主问题/需求主题</x:v>
      </x:c>
      <x:c r="C15" s="243" t="str">
        <x:v>controlled_vocabulary</x:v>
      </x:c>
    </x:row>
    <x:row r="16">
      <x:c r="A16" s="243" t="str">
        <x:v>severity_1_5</x:v>
      </x:c>
      <x:c r="B16" s="243" t="str">
        <x:v>对购买与信任的影响程度</x:v>
      </x:c>
      <x:c r="C16" s="243" t="str">
        <x:v>1低-5高</x:v>
      </x:c>
    </x:row>
    <x:row r="17">
      <x:c r="A17" s="243" t="str">
        <x:v>product_dev_relevance</x:v>
      </x:c>
      <x:c r="B17" s="243" t="str">
        <x:v>对产品开发决策的相关性</x:v>
      </x:c>
      <x:c r="C17" s="243" t="str">
        <x:v>低/中/高</x:v>
      </x:c>
    </x:row>
    <x:row r="18">
      <x:c r="A18" s="243" t="str">
        <x:v>opportunity_tag</x:v>
      </x:c>
      <x:c r="B18" s="243" t="str">
        <x:v>可进入决策引擎的机会标签</x:v>
      </x:c>
      <x:c r="C18" s="243" t="str">
        <x:v>text</x:v>
      </x:c>
    </x:row>
    <x:row r="19">
      <x:c r="A19" s="243" t="str">
        <x:v>evidence_level</x:v>
      </x:c>
      <x:c r="B19" s="243" t="str">
        <x:v>证据等级</x:v>
      </x:c>
      <x:c r="C19" s="243" t="str">
        <x:v>A详情/正文+评论; B正文或聚合; C搜索摘要</x:v>
      </x:c>
    </x:row>
    <x:row r="20">
      <x:c r="A20" s="243" t="str">
        <x:v>included_in_analysis</x:v>
      </x:c>
      <x:c r="B20" s="243" t="str">
        <x:v>是否进入洞察统计</x:v>
      </x:c>
      <x:c r="C20" s="243" t="str">
        <x:v>是/否</x:v>
      </x:c>
    </x:row>
    <x:row r="21">
      <x:c r="A21" s="244" t="str">
        <x:v>collection_date</x:v>
      </x:c>
      <x:c r="B21" s="244" t="str">
        <x:v>采集日期</x:v>
      </x:c>
      <x:c r="C21" s="244" t="str">
        <x:v>YYYY-MM-DD</x:v>
      </x:c>
    </x:row>
  </x:sheetData>
  <x:pageMargins left="0.7" right="0.7" top="0.75" bottom="0.75" header="0.3" footer="0.3"/>
  <x:tableParts count="1">
    <x:tablePart xmlns:r="http://schemas.openxmlformats.org/officeDocument/2006/relationships" r:id="Rc25c6d7fd2fe43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144" t="str">
        <x:v>MINISO 用户之声样本库 | 公开社媒多平台</x:v>
      </x:c>
      <x:c r="B1" s="144"/>
      <x:c r="C1" s="144"/>
      <x:c r="D1" s="144"/>
      <x:c r="E1" s="144"/>
      <x:c r="F1" s="144"/>
      <x:c r="G1" s="144"/>
      <x:c r="H1" s="144"/>
      <x:c r="I1" s="144"/>
      <x:c r="J1" s="144"/>
    </x:row>
    <x:row r="2" ht="26" customHeight="1">
      <x:c r="A2" s="145" t="str">
        <x:v>目的性公开样本，仅用于产品开发假设与验证；平台互动量不可直接横向比较</x:v>
      </x:c>
      <x:c r="B2" s="145"/>
      <x:c r="C2" s="145"/>
      <x:c r="D2" s="145"/>
      <x:c r="E2" s="145"/>
      <x:c r="F2" s="145"/>
      <x:c r="G2" s="145"/>
      <x:c r="H2" s="145"/>
      <x:c r="I2" s="145"/>
      <x:c r="J2" s="145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</x:row>
    <x:row r="4">
      <x:c r="A4" s="147" t="str">
        <x:v>总样本</x:v>
      </x:c>
      <x:c r="B4" s="148"/>
      <x:c r="C4" s="147" t="str">
        <x:v>纳入分析</x:v>
      </x:c>
      <x:c r="D4" s="148"/>
      <x:c r="E4" s="147" t="str">
        <x:v>小红书样本</x:v>
      </x:c>
      <x:c r="F4" s="148"/>
      <x:c r="G4" s="147" t="str">
        <x:v>研发高相关</x:v>
      </x:c>
      <x:c r="H4" s="148"/>
      <x:c r="I4" s="147" t="str">
        <x:v>严重度≥4</x:v>
      </x:c>
      <x:c r="J4" s="148"/>
    </x:row>
    <x:row r="5">
      <x:c r="A5" s="149" t="n">
        <x:f>COUNTA('样本库'!$A$2:$A$125)</x:f>
        <x:v>124</x:v>
      </x:c>
      <x:c r="B5" s="150"/>
      <x:c r="C5" s="149" t="n">
        <x:f>COUNTIF('样本库'!$V$2:$V$125,"是")</x:f>
        <x:v>119</x:v>
      </x:c>
      <x:c r="D5" s="150"/>
      <x:c r="E5" s="149" t="n">
        <x:f>COUNTIF('样本库'!$B$2:$B$125,"小红书")</x:f>
        <x:v>75</x:v>
      </x:c>
      <x:c r="F5" s="150"/>
      <x:c r="G5" s="149" t="n">
        <x:f>COUNTIFS('样本库'!$V$2:$V$125,"是",'样本库'!$S$2:$S$125,"高")</x:f>
        <x:v>91</x:v>
      </x:c>
      <x:c r="H5" s="150"/>
      <x:c r="I5" s="151" t="n">
        <x:f>COUNTIFS('样本库'!$V$2:$V$125,"是",'样本库'!$R$2:$R$125,"&gt;=4")</x:f>
        <x:v>25</x:v>
      </x:c>
      <x:c r="J5" s="152"/>
    </x:row>
    <x:row r="6">
      <x:c r="A6" s="153"/>
      <x:c r="B6" s="154"/>
      <x:c r="C6" s="153"/>
      <x:c r="D6" s="154"/>
      <x:c r="E6" s="153"/>
      <x:c r="F6" s="154"/>
      <x:c r="G6" s="153"/>
      <x:c r="H6" s="154"/>
      <x:c r="I6" s="155"/>
      <x:c r="J6" s="156"/>
    </x:row>
    <x:row r="7">
      <x:c r="A7" s="146"/>
      <x:c r="B7" s="146"/>
      <x:c r="C7" s="146"/>
      <x:c r="D7" s="146"/>
      <x:c r="E7" s="146"/>
      <x:c r="F7" s="146"/>
      <x:c r="G7" s="146"/>
      <x:c r="H7" s="146"/>
      <x:c r="I7" s="146"/>
      <x:c r="J7" s="146"/>
    </x:row>
    <x:row r="8" ht="24" customHeight="1">
      <x:c r="A8" s="157" t="str">
        <x:v>平台</x:v>
      </x:c>
      <x:c r="B8" s="157" t="str">
        <x:v>样本数</x:v>
      </x:c>
      <x:c r="C8" s="146"/>
      <x:c r="D8" s="157" t="str">
        <x:v>情绪</x:v>
      </x:c>
      <x:c r="E8" s="157" t="str">
        <x:v>样本数</x:v>
      </x:c>
      <x:c r="F8" s="146"/>
      <x:c r="G8" s="157" t="str">
        <x:v>品类/域</x:v>
      </x:c>
      <x:c r="H8" s="157" t="str">
        <x:v>样本数</x:v>
      </x:c>
      <x:c r="I8" s="146"/>
      <x:c r="J8" s="146"/>
    </x:row>
    <x:row r="9">
      <x:c r="A9" s="158" t="str">
        <x:v>小红书</x:v>
      </x:c>
      <x:c r="B9" s="158" t="n">
        <x:f>COUNTIF('样本库'!$B$2:$B$125,A9)</x:f>
        <x:v>75</x:v>
      </x:c>
      <x:c r="C9" s="146"/>
      <x:c r="D9" s="158" t="str">
        <x:v>正向</x:v>
      </x:c>
      <x:c r="E9" s="158" t="n">
        <x:f>COUNTIFS('样本库'!$V$2:$V$125,"是",'样本库'!$N$2:$N$125,D9)</x:f>
        <x:v>35</x:v>
      </x:c>
      <x:c r="F9" s="146"/>
      <x:c r="G9" s="158" t="str">
        <x:v>IP潮玩</x:v>
      </x:c>
      <x:c r="H9" s="158" t="n">
        <x:f>COUNTIFS('样本库'!$V$2:$V$125,"是",'样本库'!$P$2:$P$125,G9)</x:f>
        <x:v>30</x:v>
      </x:c>
      <x:c r="I9" s="146"/>
      <x:c r="J9" s="146"/>
    </x:row>
    <x:row r="10">
      <x:c r="A10" s="158" t="str">
        <x:v>哔哩哔哩</x:v>
      </x:c>
      <x:c r="B10" s="158" t="n">
        <x:f>COUNTIF('样本库'!$B$2:$B$125,A10)</x:f>
        <x:v>8</x:v>
      </x:c>
      <x:c r="C10" s="146"/>
      <x:c r="D10" s="158" t="str">
        <x:v>中性</x:v>
      </x:c>
      <x:c r="E10" s="158" t="n">
        <x:f>COUNTIFS('样本库'!$V$2:$V$125,"是",'样本库'!$N$2:$N$125,D10)</x:f>
        <x:v>37</x:v>
      </x:c>
      <x:c r="F10" s="146"/>
      <x:c r="G10" s="158" t="str">
        <x:v>促销与价格</x:v>
      </x:c>
      <x:c r="H10" s="158" t="n">
        <x:f>COUNTIFS('样本库'!$V$2:$V$125,"是",'样本库'!$P$2:$P$125,G10)</x:f>
        <x:v>20</x:v>
      </x:c>
      <x:c r="I10" s="146"/>
      <x:c r="J10" s="146"/>
    </x:row>
    <x:row r="11">
      <x:c r="A11" s="158" t="str">
        <x:v>抖音</x:v>
      </x:c>
      <x:c r="B11" s="158" t="n">
        <x:f>COUNTIF('样本库'!$B$2:$B$125,A11)</x:f>
        <x:v>6</x:v>
      </x:c>
      <x:c r="C11" s="146"/>
      <x:c r="D11" s="158" t="str">
        <x:v>混合/待判断</x:v>
      </x:c>
      <x:c r="E11" s="158" t="n">
        <x:f>COUNTIFS('样本库'!$V$2:$V$125,"是",'样本库'!$N$2:$N$125,D11)</x:f>
        <x:v>24</x:v>
      </x:c>
      <x:c r="F11" s="146"/>
      <x:c r="G11" s="158" t="str">
        <x:v>生活日用</x:v>
      </x:c>
      <x:c r="H11" s="158" t="n">
        <x:f>COUNTIFS('样本库'!$V$2:$V$125,"是",'样本库'!$P$2:$P$125,G11)</x:f>
        <x:v>19</x:v>
      </x:c>
      <x:c r="I11" s="146"/>
      <x:c r="J11" s="146"/>
    </x:row>
    <x:row r="12">
      <x:c r="A12" s="158" t="str">
        <x:v>微博</x:v>
      </x:c>
      <x:c r="B12" s="158" t="n">
        <x:f>COUNTIF('样本库'!$B$2:$B$125,A12)</x:f>
        <x:v>6</x:v>
      </x:c>
      <x:c r="C12" s="146"/>
      <x:c r="D12" s="159" t="str">
        <x:v>负向</x:v>
      </x:c>
      <x:c r="E12" s="159" t="n">
        <x:f>COUNTIFS('样本库'!$V$2:$V$125,"是",'样本库'!$N$2:$N$125,D12)</x:f>
        <x:v>23</x:v>
      </x:c>
      <x:c r="F12" s="146"/>
      <x:c r="G12" s="158" t="str">
        <x:v>品牌与服务</x:v>
      </x:c>
      <x:c r="H12" s="158" t="n">
        <x:f>COUNTIFS('样本库'!$V$2:$V$125,"是",'样本库'!$P$2:$P$125,G12)</x:f>
        <x:v>11</x:v>
      </x:c>
      <x:c r="I12" s="146"/>
      <x:c r="J12" s="146"/>
    </x:row>
    <x:row r="13">
      <x:c r="A13" s="158" t="str">
        <x:v>Reddit</x:v>
      </x:c>
      <x:c r="B13" s="158" t="n">
        <x:f>COUNTIF('样本库'!$B$2:$B$125,A13)</x:f>
        <x:v>12</x:v>
      </x:c>
      <x:c r="C13" s="146"/>
      <x:c r="D13" s="146"/>
      <x:c r="E13" s="146"/>
      <x:c r="F13" s="146"/>
      <x:c r="G13" s="158" t="str">
        <x:v>门店体验</x:v>
      </x:c>
      <x:c r="H13" s="158" t="n">
        <x:f>COUNTIFS('样本库'!$V$2:$V$125,"是",'样本库'!$P$2:$P$125,G13)</x:f>
        <x:v>9</x:v>
      </x:c>
      <x:c r="I13" s="146"/>
      <x:c r="J13" s="146"/>
    </x:row>
    <x:row r="14">
      <x:c r="A14" s="158" t="str">
        <x:v>Trustpilot</x:v>
      </x:c>
      <x:c r="B14" s="158" t="n">
        <x:f>COUNTIF('样本库'!$B$2:$B$125,A14)</x:f>
        <x:v>12</x:v>
      </x:c>
      <x:c r="C14" s="146"/>
      <x:c r="D14" s="146"/>
      <x:c r="E14" s="146"/>
      <x:c r="F14" s="146"/>
      <x:c r="G14" s="158" t="str">
        <x:v>彩妆个护</x:v>
      </x:c>
      <x:c r="H14" s="158" t="n">
        <x:f>COUNTIFS('样本库'!$V$2:$V$125,"是",'样本库'!$P$2:$P$125,G14)</x:f>
        <x:v>7</x:v>
      </x:c>
      <x:c r="I14" s="146"/>
      <x:c r="J14" s="146"/>
    </x:row>
    <x:row r="15">
      <x:c r="A15" s="158" t="str">
        <x:v>Google Reviews/Wanderlog</x:v>
      </x:c>
      <x:c r="B15" s="158" t="n">
        <x:f>COUNTIF('样本库'!$B$2:$B$125,A15)</x:f>
        <x:v>3</x:v>
      </x:c>
      <x:c r="C15" s="146"/>
      <x:c r="D15" s="146"/>
      <x:c r="E15" s="146"/>
      <x:c r="F15" s="146"/>
      <x:c r="G15" s="158" t="str">
        <x:v>香氛</x:v>
      </x:c>
      <x:c r="H15" s="158" t="n">
        <x:f>COUNTIFS('样本库'!$V$2:$V$125,"是",'样本库'!$P$2:$P$125,G15)</x:f>
        <x:v>6</x:v>
      </x:c>
      <x:c r="I15" s="146"/>
      <x:c r="J15" s="146"/>
    </x:row>
    <x:row r="16">
      <x:c r="A16" s="159" t="str">
        <x:v>BBB Reviews</x:v>
      </x:c>
      <x:c r="B16" s="159" t="n">
        <x:f>COUNTIF('样本库'!$B$2:$B$125,A16)</x:f>
        <x:v>2</x:v>
      </x:c>
      <x:c r="C16" s="146"/>
      <x:c r="D16" s="146"/>
      <x:c r="E16" s="146"/>
      <x:c r="F16" s="146"/>
      <x:c r="G16" s="158" t="str">
        <x:v>数码小电</x:v>
      </x:c>
      <x:c r="H16" s="158" t="n">
        <x:f>COUNTIFS('样本库'!$V$2:$V$125,"是",'样本库'!$P$2:$P$125,G16)</x:f>
        <x:v>4</x:v>
      </x:c>
      <x:c r="I16" s="146"/>
      <x:c r="J16" s="146"/>
    </x:row>
    <x:row r="17">
      <x:c r="A17" s="146"/>
      <x:c r="B17" s="146"/>
      <x:c r="C17" s="146"/>
      <x:c r="D17" s="146"/>
      <x:c r="E17" s="146"/>
      <x:c r="F17" s="146"/>
      <x:c r="G17" s="158" t="str">
        <x:v>食品</x:v>
      </x:c>
      <x:c r="H17" s="158" t="n">
        <x:f>COUNTIFS('样本库'!$V$2:$V$125,"是",'样本库'!$P$2:$P$125,G17)</x:f>
        <x:v>1</x:v>
      </x:c>
      <x:c r="I17" s="146"/>
      <x:c r="J17" s="146"/>
    </x:row>
    <x:row r="18">
      <x:c r="A18" s="146"/>
      <x:c r="B18" s="146"/>
      <x:c r="C18" s="146"/>
      <x:c r="D18" s="146"/>
      <x:c r="E18" s="146"/>
      <x:c r="F18" s="146"/>
      <x:c r="G18" s="159" t="str">
        <x:v>综合/其他</x:v>
      </x:c>
      <x:c r="H18" s="159" t="n">
        <x:f>COUNTIFS('样本库'!$V$2:$V$125,"是",'样本库'!$P$2:$P$125,G18)</x:f>
        <x:v>12</x:v>
      </x:c>
      <x:c r="I18" s="146"/>
      <x:c r="J18" s="146"/>
    </x:row>
    <x:row r="19" ht="24" customHeight="1">
      <x:c r="A19" s="157" t="str">
        <x:v>主要主题</x:v>
      </x:c>
      <x:c r="B19" s="157" t="str">
        <x:v>样本数</x:v>
      </x:c>
      <x:c r="C19" s="146"/>
      <x:c r="D19" s="146"/>
      <x:c r="E19" s="146"/>
      <x:c r="F19" s="146"/>
      <x:c r="G19" s="146"/>
      <x:c r="H19" s="146"/>
      <x:c r="I19" s="146"/>
      <x:c r="J19" s="146"/>
    </x:row>
    <x:row r="20">
      <x:c r="A20" s="160" t="str">
        <x:v>高频使用与复购价值</x:v>
      </x:c>
      <x:c r="B20" s="158" t="n">
        <x:f>COUNTIFS('样本库'!$V$2:$V$125,"是",'样本库'!$Q$2:$Q$125,A20)</x:f>
        <x:v>16</x:v>
      </x:c>
      <x:c r="C20" s="146"/>
      <x:c r="D20" s="146"/>
      <x:c r="E20" s="146"/>
      <x:c r="F20" s="146"/>
      <x:c r="G20" s="146"/>
      <x:c r="H20" s="146"/>
      <x:c r="I20" s="146"/>
      <x:c r="J20" s="146"/>
    </x:row>
    <x:row r="21">
      <x:c r="A21" s="160" t="str">
        <x:v>促销门槛与价格敏感</x:v>
      </x:c>
      <x:c r="B21" s="158" t="n">
        <x:f>COUNTIFS('样本库'!$V$2:$V$125,"是",'样本库'!$Q$2:$Q$125,A21)</x:f>
        <x:v>22</x:v>
      </x:c>
      <x:c r="C21" s="146"/>
      <x:c r="D21" s="146"/>
      <x:c r="E21" s="146"/>
      <x:c r="F21" s="146"/>
      <x:c r="G21" s="146"/>
      <x:c r="H21" s="146"/>
      <x:c r="I21" s="146"/>
      <x:c r="J21" s="146"/>
    </x:row>
    <x:row r="22">
      <x:c r="A22" s="160" t="str">
        <x:v>产品发现与购买决策</x:v>
      </x:c>
      <x:c r="B22" s="158" t="n">
        <x:f>COUNTIFS('样本库'!$V$2:$V$125,"是",'样本库'!$Q$2:$Q$125,A22)</x:f>
        <x:v>19</x:v>
      </x:c>
      <x:c r="C22" s="146"/>
      <x:c r="D22" s="146"/>
      <x:c r="E22" s="146"/>
      <x:c r="F22" s="146"/>
      <x:c r="G22" s="146"/>
      <x:c r="H22" s="146"/>
      <x:c r="I22" s="146"/>
      <x:c r="J22" s="146"/>
    </x:row>
    <x:row r="23">
      <x:c r="A23" s="160" t="str">
        <x:v>质量与耐用性</x:v>
      </x:c>
      <x:c r="B23" s="158" t="n">
        <x:f>COUNTIFS('样本库'!$V$2:$V$125,"是",'样本库'!$Q$2:$Q$125,A23)</x:f>
        <x:v>11</x:v>
      </x:c>
      <x:c r="C23" s="146"/>
      <x:c r="D23" s="146"/>
      <x:c r="E23" s="146"/>
      <x:c r="F23" s="146"/>
      <x:c r="G23" s="146"/>
      <x:c r="H23" s="146"/>
      <x:c r="I23" s="146"/>
      <x:c r="J23" s="146"/>
    </x:row>
    <x:row r="24">
      <x:c r="A24" s="160" t="str">
        <x:v>角色偏好与IP情绪价值</x:v>
      </x:c>
      <x:c r="B24" s="158" t="n">
        <x:f>COUNTIFS('样本库'!$V$2:$V$125,"是",'样本库'!$Q$2:$Q$125,A24)</x:f>
        <x:v>11</x:v>
      </x:c>
      <x:c r="C24" s="146"/>
      <x:c r="D24" s="146"/>
      <x:c r="E24" s="146"/>
      <x:c r="F24" s="146"/>
      <x:c r="G24" s="146"/>
      <x:c r="H24" s="146"/>
      <x:c r="I24" s="146"/>
      <x:c r="J24" s="146"/>
    </x:row>
    <x:row r="25">
      <x:c r="A25" s="160" t="str">
        <x:v>门店分级与逛店体验</x:v>
      </x:c>
      <x:c r="B25" s="158" t="n">
        <x:f>COUNTIFS('样本库'!$V$2:$V$125,"是",'样本库'!$Q$2:$Q$125,A25)</x:f>
        <x:v>8</x:v>
      </x:c>
      <x:c r="C25" s="146"/>
      <x:c r="D25" s="146"/>
      <x:c r="E25" s="146"/>
      <x:c r="F25" s="146"/>
      <x:c r="G25" s="146"/>
      <x:c r="H25" s="146"/>
      <x:c r="I25" s="146"/>
      <x:c r="J25" s="146"/>
    </x:row>
    <x:row r="26">
      <x:c r="A26" s="160" t="str">
        <x:v>性价比与价格锚点</x:v>
      </x:c>
      <x:c r="B26" s="158" t="n">
        <x:f>COUNTIFS('样本库'!$V$2:$V$125,"是",'样本库'!$Q$2:$Q$125,A26)</x:f>
        <x:v>7</x:v>
      </x:c>
      <x:c r="C26" s="146"/>
      <x:c r="D26" s="146"/>
      <x:c r="E26" s="146"/>
      <x:c r="F26" s="146"/>
      <x:c r="G26" s="146"/>
      <x:c r="H26" s="146"/>
      <x:c r="I26" s="146"/>
      <x:c r="J26" s="146"/>
    </x:row>
    <x:row r="27">
      <x:c r="A27" s="160" t="str">
        <x:v>原创性/真伪信任</x:v>
      </x:c>
      <x:c r="B27" s="158" t="n">
        <x:f>COUNTIFS('样本库'!$V$2:$V$125,"是",'样本库'!$Q$2:$Q$125,A27)</x:f>
        <x:v>6</x:v>
      </x:c>
      <x:c r="C27" s="146"/>
      <x:c r="D27" s="146"/>
      <x:c r="E27" s="146"/>
      <x:c r="F27" s="146"/>
      <x:c r="G27" s="146"/>
      <x:c r="H27" s="146"/>
      <x:c r="I27" s="146"/>
      <x:c r="J27" s="146"/>
    </x:row>
    <x:row r="28">
      <x:c r="A28" s="160" t="str">
        <x:v>效果、色号与新手友好</x:v>
      </x:c>
      <x:c r="B28" s="158" t="n">
        <x:f>COUNTIFS('样本库'!$V$2:$V$125,"是",'样本库'!$Q$2:$Q$125,A28)</x:f>
        <x:v>5</x:v>
      </x:c>
      <x:c r="C28" s="146"/>
      <x:c r="D28" s="146"/>
      <x:c r="E28" s="146"/>
      <x:c r="F28" s="146"/>
      <x:c r="G28" s="146"/>
      <x:c r="H28" s="146"/>
      <x:c r="I28" s="146"/>
      <x:c r="J28" s="146"/>
    </x:row>
    <x:row r="29">
      <x:c r="A29" s="160" t="str">
        <x:v>可获得性与库存透明</x:v>
      </x:c>
      <x:c r="B29" s="158" t="n">
        <x:f>COUNTIFS('样本库'!$V$2:$V$125,"是",'样本库'!$Q$2:$Q$125,A29)</x:f>
        <x:v>4</x:v>
      </x:c>
      <x:c r="C29" s="146"/>
      <x:c r="D29" s="146"/>
      <x:c r="E29" s="146"/>
      <x:c r="F29" s="146"/>
      <x:c r="G29" s="146"/>
      <x:c r="H29" s="146"/>
      <x:c r="I29" s="146"/>
      <x:c r="J29" s="146"/>
    </x:row>
    <x:row r="30">
      <x:c r="A30" s="160" t="str">
        <x:v>结账摩擦与会员规则</x:v>
      </x:c>
      <x:c r="B30" s="158" t="n">
        <x:f>COUNTIFS('样本库'!$V$2:$V$125,"是",'样本库'!$Q$2:$Q$125,A30)</x:f>
        <x:v>3</x:v>
      </x:c>
      <x:c r="C30" s="146"/>
      <x:c r="D30" s="146"/>
      <x:c r="E30" s="146"/>
      <x:c r="F30" s="146"/>
      <x:c r="G30" s="146"/>
      <x:c r="H30" s="146"/>
      <x:c r="I30" s="146"/>
      <x:c r="J30" s="146"/>
    </x:row>
    <x:row r="31">
      <x:c r="A31" s="160" t="str">
        <x:v>香型偏好与预期管理</x:v>
      </x:c>
      <x:c r="B31" s="158" t="n">
        <x:f>COUNTIFS('样本库'!$V$2:$V$125,"是",'样本库'!$Q$2:$Q$125,A31)</x:f>
        <x:v>4</x:v>
      </x:c>
      <x:c r="C31" s="146"/>
      <x:c r="D31" s="146"/>
      <x:c r="E31" s="146"/>
      <x:c r="F31" s="146"/>
      <x:c r="G31" s="146"/>
      <x:c r="H31" s="146"/>
      <x:c r="I31" s="146"/>
      <x:c r="J31" s="146"/>
    </x:row>
    <x:row r="32">
      <x:c r="A32" s="160" t="str">
        <x:v>品牌价值观与内容审核</x:v>
      </x:c>
      <x:c r="B32" s="158" t="n">
        <x:f>COUNTIFS('样本库'!$V$2:$V$125,"是",'样本库'!$Q$2:$Q$125,A32)</x:f>
        <x:v>2</x:v>
      </x:c>
      <x:c r="C32" s="146"/>
      <x:c r="D32" s="146"/>
      <x:c r="E32" s="146"/>
      <x:c r="F32" s="146"/>
      <x:c r="G32" s="146"/>
      <x:c r="H32" s="146"/>
      <x:c r="I32" s="146"/>
      <x:c r="J32" s="146"/>
    </x:row>
    <x:row r="33">
      <x:c r="A33" s="161" t="str">
        <x:v>口味发现与榜单需求</x:v>
      </x:c>
      <x:c r="B33" s="159" t="n">
        <x:f>COUNTIFS('样本库'!$V$2:$V$125,"是",'样本库'!$Q$2:$Q$125,A33)</x:f>
        <x:v>1</x:v>
      </x:c>
      <x:c r="C33" s="146"/>
      <x:c r="D33" s="146"/>
      <x:c r="E33" s="146"/>
      <x:c r="F33" s="146"/>
      <x:c r="G33" s="146"/>
      <x:c r="H33" s="146"/>
      <x:c r="I33" s="146"/>
      <x:c r="J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  <x:c r="J34" s="146"/>
    </x:row>
    <x:row r="35">
      <x:c r="A35" s="162" t="str">
        <x:v>读取口径：A=详情页正文/公开评论；B=正文或评价聚合；C=搜索摘要。统计只描述本数据集，不推断总体消费者比例。</x:v>
      </x:c>
      <x:c r="B35" s="163"/>
      <x:c r="C35" s="163"/>
      <x:c r="D35" s="163"/>
      <x:c r="E35" s="163"/>
      <x:c r="F35" s="163"/>
      <x:c r="G35" s="163"/>
      <x:c r="H35" s="163"/>
      <x:c r="I35" s="163"/>
      <x:c r="J35" s="164"/>
    </x:row>
    <x:row r="36">
      <x:c r="A36" s="165"/>
      <x:c r="B36" s="166"/>
      <x:c r="C36" s="166"/>
      <x:c r="D36" s="166"/>
      <x:c r="E36" s="166"/>
      <x:c r="F36" s="166"/>
      <x:c r="G36" s="166"/>
      <x:c r="H36" s="166"/>
      <x:c r="I36" s="166"/>
      <x:c r="J36" s="167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35:J36"/>
  </x:mergeCells>
  <x:pageMargins left="0.7" right="0.7" top="0.75" bottom="0.75" header="0.3" footer="0.3"/>
  <x:drawing xmlns:r="http://schemas.openxmlformats.org/officeDocument/2006/relationships" r:id="Re8823d2bb3814f81"/>
</x:worksheet>
</file>